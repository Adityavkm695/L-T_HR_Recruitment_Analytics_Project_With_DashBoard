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ivotCache/richPivotRecords1.xml" ContentType="application/vnd.openxmlformats-officedocument.spreadsheetml.richPivotRecord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49EEB66-DCC8-48EB-A6B6-1FC5AF49ECA8}" xr6:coauthVersionLast="47" xr6:coauthVersionMax="47" xr10:uidLastSave="{00000000-0000-0000-0000-000000000000}"/>
  <bookViews>
    <workbookView xWindow="-108" yWindow="-108" windowWidth="23256" windowHeight="12456" activeTab="2" xr2:uid="{76510B8B-976F-437D-A432-528F8A896E65}"/>
  </bookViews>
  <sheets>
    <sheet name="Cdt. Dataset " sheetId="11" r:id="rId1"/>
    <sheet name="Cdt. Analysis" sheetId="12" r:id="rId2"/>
    <sheet name="Cdt. DashBoard" sheetId="14" r:id="rId3"/>
  </sheets>
  <definedNames>
    <definedName name="Slicer_Department1">#N/A</definedName>
    <definedName name="Slicer_Source">#N/A</definedName>
    <definedName name="Slicer_Statu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12" l="1"/>
  <c r="C8" i="12"/>
  <c r="C6" i="12"/>
  <c r="C5" i="12"/>
  <c r="C4" i="12"/>
  <c r="C7" i="12" l="1"/>
</calcChain>
</file>

<file path=xl/metadata.xml><?xml version="1.0" encoding="utf-8"?>
<metadata xmlns="http://schemas.openxmlformats.org/spreadsheetml/2006/main" xmlns:xlrd="http://schemas.microsoft.com/office/spreadsheetml/2017/richdata"/>
</file>

<file path=xl/sharedStrings.xml><?xml version="1.0" encoding="utf-8"?>
<sst xmlns="http://schemas.openxmlformats.org/spreadsheetml/2006/main" count="2050" uniqueCount="285">
  <si>
    <t>Application ID</t>
  </si>
  <si>
    <t>Candidate Name</t>
  </si>
  <si>
    <t>Gender</t>
  </si>
  <si>
    <t>Age</t>
  </si>
  <si>
    <t>Job Position</t>
  </si>
  <si>
    <t>Department</t>
  </si>
  <si>
    <t>Recruiter</t>
  </si>
  <si>
    <t>Source</t>
  </si>
  <si>
    <t>Applied Date</t>
  </si>
  <si>
    <t>Interview Date</t>
  </si>
  <si>
    <t>Offer Date</t>
  </si>
  <si>
    <t>Joining Date</t>
  </si>
  <si>
    <t>Status</t>
  </si>
  <si>
    <t>Expected Salary</t>
  </si>
  <si>
    <t>Offered Salary</t>
  </si>
  <si>
    <t>Experience</t>
  </si>
  <si>
    <t>City</t>
  </si>
  <si>
    <t>Time to Hire</t>
  </si>
  <si>
    <t>APP001</t>
  </si>
  <si>
    <t>Sneha</t>
  </si>
  <si>
    <t>Female</t>
  </si>
  <si>
    <t>Manager</t>
  </si>
  <si>
    <t>Operations</t>
  </si>
  <si>
    <t>Sonal</t>
  </si>
  <si>
    <t>Naukri</t>
  </si>
  <si>
    <t>Interview</t>
  </si>
  <si>
    <t>Delhi</t>
  </si>
  <si>
    <t>APP002</t>
  </si>
  <si>
    <t>Neha</t>
  </si>
  <si>
    <t>Aman</t>
  </si>
  <si>
    <t>Referral</t>
  </si>
  <si>
    <t>APP003</t>
  </si>
  <si>
    <t>Rohit</t>
  </si>
  <si>
    <t>Deepak</t>
  </si>
  <si>
    <t>Indeed</t>
  </si>
  <si>
    <t>Screening</t>
  </si>
  <si>
    <t>APP004</t>
  </si>
  <si>
    <t>Anjali</t>
  </si>
  <si>
    <t>Male</t>
  </si>
  <si>
    <t>HR Exec</t>
  </si>
  <si>
    <t>HR</t>
  </si>
  <si>
    <t>Joined</t>
  </si>
  <si>
    <t>Noida</t>
  </si>
  <si>
    <t>APP005</t>
  </si>
  <si>
    <t>Accountant</t>
  </si>
  <si>
    <t>Finance</t>
  </si>
  <si>
    <t>Gurgaon</t>
  </si>
  <si>
    <t>APP006</t>
  </si>
  <si>
    <t>Vikas</t>
  </si>
  <si>
    <t>Developer</t>
  </si>
  <si>
    <t>IT</t>
  </si>
  <si>
    <t>Applied</t>
  </si>
  <si>
    <t>APP007</t>
  </si>
  <si>
    <t>Analyst</t>
  </si>
  <si>
    <t>Campus</t>
  </si>
  <si>
    <t>APP008</t>
  </si>
  <si>
    <t>Riya</t>
  </si>
  <si>
    <t>LinkedIn</t>
  </si>
  <si>
    <t>APP009</t>
  </si>
  <si>
    <t>Amit</t>
  </si>
  <si>
    <t>Rejected</t>
  </si>
  <si>
    <t>APP010</t>
  </si>
  <si>
    <t>APP011</t>
  </si>
  <si>
    <t>APP012</t>
  </si>
  <si>
    <t>APP013</t>
  </si>
  <si>
    <t>APP014</t>
  </si>
  <si>
    <t>APP015</t>
  </si>
  <si>
    <t>APP016</t>
  </si>
  <si>
    <t>APP017</t>
  </si>
  <si>
    <t>APP018</t>
  </si>
  <si>
    <t>Selected</t>
  </si>
  <si>
    <t>APP019</t>
  </si>
  <si>
    <t>APP020</t>
  </si>
  <si>
    <t>APP021</t>
  </si>
  <si>
    <t>APP022</t>
  </si>
  <si>
    <t>APP023</t>
  </si>
  <si>
    <t>Rahul</t>
  </si>
  <si>
    <t>APP024</t>
  </si>
  <si>
    <t>Karan</t>
  </si>
  <si>
    <t>Offered</t>
  </si>
  <si>
    <t>APP025</t>
  </si>
  <si>
    <t>APP026</t>
  </si>
  <si>
    <t>APP027</t>
  </si>
  <si>
    <t>APP028</t>
  </si>
  <si>
    <t>APP029</t>
  </si>
  <si>
    <t>Pooja</t>
  </si>
  <si>
    <t>APP030</t>
  </si>
  <si>
    <t>APP031</t>
  </si>
  <si>
    <t>APP032</t>
  </si>
  <si>
    <t>APP033</t>
  </si>
  <si>
    <t>APP034</t>
  </si>
  <si>
    <t>APP035</t>
  </si>
  <si>
    <t>APP036</t>
  </si>
  <si>
    <t>APP037</t>
  </si>
  <si>
    <t>APP038</t>
  </si>
  <si>
    <t>APP039</t>
  </si>
  <si>
    <t>APP040</t>
  </si>
  <si>
    <t>APP041</t>
  </si>
  <si>
    <t>APP042</t>
  </si>
  <si>
    <t>Priya</t>
  </si>
  <si>
    <t>APP043</t>
  </si>
  <si>
    <t>APP044</t>
  </si>
  <si>
    <t>APP045</t>
  </si>
  <si>
    <t>APP046</t>
  </si>
  <si>
    <t>APP047</t>
  </si>
  <si>
    <t>APP048</t>
  </si>
  <si>
    <t>APP049</t>
  </si>
  <si>
    <t>APP050</t>
  </si>
  <si>
    <t>APP051</t>
  </si>
  <si>
    <t>APP052</t>
  </si>
  <si>
    <t>APP053</t>
  </si>
  <si>
    <t>APP054</t>
  </si>
  <si>
    <t>APP055</t>
  </si>
  <si>
    <t>APP056</t>
  </si>
  <si>
    <t>APP057</t>
  </si>
  <si>
    <t>APP058</t>
  </si>
  <si>
    <t>APP059</t>
  </si>
  <si>
    <t>APP060</t>
  </si>
  <si>
    <t>APP061</t>
  </si>
  <si>
    <t>APP062</t>
  </si>
  <si>
    <t>APP063</t>
  </si>
  <si>
    <t>APP064</t>
  </si>
  <si>
    <t>APP065</t>
  </si>
  <si>
    <t>APP066</t>
  </si>
  <si>
    <t>APP067</t>
  </si>
  <si>
    <t>APP068</t>
  </si>
  <si>
    <t>APP069</t>
  </si>
  <si>
    <t>APP070</t>
  </si>
  <si>
    <t>APP071</t>
  </si>
  <si>
    <t>APP072</t>
  </si>
  <si>
    <t>APP073</t>
  </si>
  <si>
    <t>APP074</t>
  </si>
  <si>
    <t>APP075</t>
  </si>
  <si>
    <t>APP076</t>
  </si>
  <si>
    <t>APP077</t>
  </si>
  <si>
    <t>APP078</t>
  </si>
  <si>
    <t>APP079</t>
  </si>
  <si>
    <t>APP080</t>
  </si>
  <si>
    <t>APP081</t>
  </si>
  <si>
    <t>APP082</t>
  </si>
  <si>
    <t>APP083</t>
  </si>
  <si>
    <t>APP084</t>
  </si>
  <si>
    <t>APP085</t>
  </si>
  <si>
    <t>APP086</t>
  </si>
  <si>
    <t>APP087</t>
  </si>
  <si>
    <t>APP088</t>
  </si>
  <si>
    <t>APP089</t>
  </si>
  <si>
    <t>APP090</t>
  </si>
  <si>
    <t>APP091</t>
  </si>
  <si>
    <t>APP092</t>
  </si>
  <si>
    <t>APP093</t>
  </si>
  <si>
    <t>APP094</t>
  </si>
  <si>
    <t>APP095</t>
  </si>
  <si>
    <t>APP096</t>
  </si>
  <si>
    <t>APP097</t>
  </si>
  <si>
    <t>APP098</t>
  </si>
  <si>
    <t>APP099</t>
  </si>
  <si>
    <t>APP100</t>
  </si>
  <si>
    <t>APP101</t>
  </si>
  <si>
    <t>APP102</t>
  </si>
  <si>
    <t>APP103</t>
  </si>
  <si>
    <t>APP104</t>
  </si>
  <si>
    <t>APP105</t>
  </si>
  <si>
    <t>APP106</t>
  </si>
  <si>
    <t>APP107</t>
  </si>
  <si>
    <t>APP108</t>
  </si>
  <si>
    <t>APP109</t>
  </si>
  <si>
    <t>APP110</t>
  </si>
  <si>
    <t>APP111</t>
  </si>
  <si>
    <t>APP112</t>
  </si>
  <si>
    <t>APP113</t>
  </si>
  <si>
    <t>APP114</t>
  </si>
  <si>
    <t>APP115</t>
  </si>
  <si>
    <t>APP116</t>
  </si>
  <si>
    <t>APP117</t>
  </si>
  <si>
    <t>APP118</t>
  </si>
  <si>
    <t>APP119</t>
  </si>
  <si>
    <t>APP120</t>
  </si>
  <si>
    <t>APP121</t>
  </si>
  <si>
    <t>APP122</t>
  </si>
  <si>
    <t>APP123</t>
  </si>
  <si>
    <t>APP124</t>
  </si>
  <si>
    <t>APP125</t>
  </si>
  <si>
    <t>APP126</t>
  </si>
  <si>
    <t>APP127</t>
  </si>
  <si>
    <t>APP128</t>
  </si>
  <si>
    <t>APP129</t>
  </si>
  <si>
    <t>APP130</t>
  </si>
  <si>
    <t>APP131</t>
  </si>
  <si>
    <t>APP132</t>
  </si>
  <si>
    <t>APP133</t>
  </si>
  <si>
    <t>APP134</t>
  </si>
  <si>
    <t>APP135</t>
  </si>
  <si>
    <t>APP136</t>
  </si>
  <si>
    <t>APP137</t>
  </si>
  <si>
    <t>APP138</t>
  </si>
  <si>
    <t>APP139</t>
  </si>
  <si>
    <t>APP140</t>
  </si>
  <si>
    <t>APP141</t>
  </si>
  <si>
    <t>APP142</t>
  </si>
  <si>
    <t>APP143</t>
  </si>
  <si>
    <t>APP144</t>
  </si>
  <si>
    <t>APP145</t>
  </si>
  <si>
    <t>APP146</t>
  </si>
  <si>
    <t>APP147</t>
  </si>
  <si>
    <t>APP148</t>
  </si>
  <si>
    <t>APP149</t>
  </si>
  <si>
    <t>APP150</t>
  </si>
  <si>
    <t>APP151</t>
  </si>
  <si>
    <t>APP152</t>
  </si>
  <si>
    <t>APP153</t>
  </si>
  <si>
    <t>APP154</t>
  </si>
  <si>
    <t>APP155</t>
  </si>
  <si>
    <t>APP156</t>
  </si>
  <si>
    <t>APP157</t>
  </si>
  <si>
    <t>APP158</t>
  </si>
  <si>
    <t>APP159</t>
  </si>
  <si>
    <t>APP160</t>
  </si>
  <si>
    <t>APP161</t>
  </si>
  <si>
    <t>APP162</t>
  </si>
  <si>
    <t>APP163</t>
  </si>
  <si>
    <t>APP164</t>
  </si>
  <si>
    <t>APP165</t>
  </si>
  <si>
    <t>APP166</t>
  </si>
  <si>
    <t>APP167</t>
  </si>
  <si>
    <t>APP168</t>
  </si>
  <si>
    <t>APP169</t>
  </si>
  <si>
    <t>APP170</t>
  </si>
  <si>
    <t>APP171</t>
  </si>
  <si>
    <t>APP172</t>
  </si>
  <si>
    <t>APP173</t>
  </si>
  <si>
    <t>APP174</t>
  </si>
  <si>
    <t>APP175</t>
  </si>
  <si>
    <t>APP176</t>
  </si>
  <si>
    <t>APP177</t>
  </si>
  <si>
    <t>APP178</t>
  </si>
  <si>
    <t>APP179</t>
  </si>
  <si>
    <t>APP180</t>
  </si>
  <si>
    <t>APP181</t>
  </si>
  <si>
    <t>APP182</t>
  </si>
  <si>
    <t>APP183</t>
  </si>
  <si>
    <t>APP184</t>
  </si>
  <si>
    <t>APP185</t>
  </si>
  <si>
    <t>APP186</t>
  </si>
  <si>
    <t>APP187</t>
  </si>
  <si>
    <t>APP188</t>
  </si>
  <si>
    <t>APP189</t>
  </si>
  <si>
    <t>APP190</t>
  </si>
  <si>
    <t>APP191</t>
  </si>
  <si>
    <t>APP192</t>
  </si>
  <si>
    <t>APP193</t>
  </si>
  <si>
    <t>APP194</t>
  </si>
  <si>
    <t>APP195</t>
  </si>
  <si>
    <t>APP196</t>
  </si>
  <si>
    <t>APP197</t>
  </si>
  <si>
    <t>APP198</t>
  </si>
  <si>
    <t>APP199</t>
  </si>
  <si>
    <t>APP200</t>
  </si>
  <si>
    <t>Grand Total</t>
  </si>
  <si>
    <t>Recruitment Funnel</t>
  </si>
  <si>
    <t>Jan</t>
  </si>
  <si>
    <t>Feb</t>
  </si>
  <si>
    <t>Mar</t>
  </si>
  <si>
    <t>Apr</t>
  </si>
  <si>
    <t>May</t>
  </si>
  <si>
    <t>Jun</t>
  </si>
  <si>
    <t>Hiring Source</t>
  </si>
  <si>
    <t/>
  </si>
  <si>
    <t>Recruitment KPI'S</t>
  </si>
  <si>
    <t xml:space="preserve">Total Applications </t>
  </si>
  <si>
    <t xml:space="preserve">Selected </t>
  </si>
  <si>
    <t xml:space="preserve">Rejected </t>
  </si>
  <si>
    <t xml:space="preserve">Hiring Rate </t>
  </si>
  <si>
    <t xml:space="preserve">Average Time To Hire </t>
  </si>
  <si>
    <t xml:space="preserve">Monthly Applications Track </t>
  </si>
  <si>
    <t xml:space="preserve">Months </t>
  </si>
  <si>
    <t xml:space="preserve">Candidates Status </t>
  </si>
  <si>
    <t xml:space="preserve">Recruiter Performance </t>
  </si>
  <si>
    <t>Recruiters Name</t>
  </si>
  <si>
    <t>Count</t>
  </si>
  <si>
    <t xml:space="preserve">Gender Wise Applications </t>
  </si>
  <si>
    <t xml:space="preserve">Genders </t>
  </si>
  <si>
    <t xml:space="preserve">RECRUITMENT ANALYSIS </t>
  </si>
  <si>
    <t xml:space="preserve">City Wise Applications </t>
  </si>
  <si>
    <t xml:space="preserve">City Names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</si>
</sst>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6"/>
      <color theme="1"/>
      <name val="Amasis MT Pro"/>
      <family val="1"/>
    </font>
  </fonts>
  <fills count="13">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bgColor theme="6" tint="0.59999389629810485"/>
      </patternFill>
    </fill>
    <fill>
      <patternFill patternType="solid">
        <fgColor theme="0"/>
        <bgColor theme="5" tint="0.59999389629810485"/>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diagonal/>
    </border>
    <border>
      <left/>
      <right/>
      <top/>
      <bottom style="thin">
        <color theme="1"/>
      </bottom>
      <diagonal/>
    </border>
    <border>
      <left/>
      <right style="thin">
        <color theme="1"/>
      </right>
      <top/>
      <bottom style="thin">
        <color theme="1"/>
      </bottom>
      <diagonal/>
    </border>
    <border>
      <left style="thin">
        <color theme="1"/>
      </left>
      <right/>
      <top/>
      <bottom/>
      <diagonal/>
    </border>
    <border>
      <left style="thin">
        <color theme="1"/>
      </left>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0" fontId="0" fillId="0" borderId="0" xfId="0" applyAlignment="1">
      <alignment horizontal="center" vertical="center"/>
    </xf>
    <xf numFmtId="0" fontId="0" fillId="0" borderId="0" xfId="0" applyAlignment="1">
      <alignment horizontal="center"/>
    </xf>
    <xf numFmtId="14" fontId="0" fillId="0" borderId="0" xfId="0" applyNumberFormat="1" applyAlignment="1">
      <alignment horizontal="center" vertical="center"/>
    </xf>
    <xf numFmtId="14" fontId="0" fillId="0" borderId="0" xfId="0" applyNumberFormat="1" applyAlignment="1">
      <alignment horizontal="center"/>
    </xf>
    <xf numFmtId="0" fontId="2" fillId="0" borderId="0" xfId="0" applyFont="1" applyAlignment="1">
      <alignment horizontal="center"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0" fontId="2" fillId="0" borderId="4"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2" fillId="0" borderId="2" xfId="0" applyFont="1"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164" fontId="2" fillId="0" borderId="3" xfId="0" applyNumberFormat="1" applyFont="1" applyBorder="1" applyAlignment="1">
      <alignment horizontal="center" vertic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Alignment="1">
      <alignment horizontal="center"/>
    </xf>
    <xf numFmtId="0" fontId="0" fillId="3" borderId="0" xfId="0" applyFill="1"/>
    <xf numFmtId="0" fontId="0" fillId="3" borderId="0" xfId="0" applyFill="1" applyAlignment="1">
      <alignment horizontal="center" vertical="center"/>
    </xf>
    <xf numFmtId="0" fontId="0" fillId="4" borderId="10" xfId="0" applyFill="1" applyBorder="1" applyAlignment="1">
      <alignment horizontal="center" vertical="center"/>
    </xf>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6" borderId="10" xfId="0" applyFont="1" applyFill="1" applyBorder="1" applyAlignment="1">
      <alignment horizontal="center" vertical="center"/>
    </xf>
    <xf numFmtId="0" fontId="2" fillId="2" borderId="10" xfId="0" applyFont="1" applyFill="1" applyBorder="1" applyAlignment="1">
      <alignment horizontal="center" vertical="center"/>
    </xf>
    <xf numFmtId="0" fontId="2" fillId="7" borderId="10" xfId="0" applyFont="1" applyFill="1" applyBorder="1" applyAlignment="1">
      <alignment horizontal="center" vertical="center"/>
    </xf>
    <xf numFmtId="0" fontId="0" fillId="3" borderId="13" xfId="0" applyFill="1" applyBorder="1"/>
    <xf numFmtId="0" fontId="0" fillId="3" borderId="14" xfId="0" applyFill="1" applyBorder="1"/>
    <xf numFmtId="0" fontId="0" fillId="3" borderId="14" xfId="0" applyFill="1" applyBorder="1" applyAlignment="1">
      <alignment horizontal="center" vertical="center"/>
    </xf>
    <xf numFmtId="0" fontId="0" fillId="3" borderId="15"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19" xfId="0" applyFill="1" applyBorder="1" applyAlignment="1">
      <alignment horizontal="center" vertical="center"/>
    </xf>
    <xf numFmtId="0" fontId="0" fillId="3" borderId="20" xfId="0" applyFill="1" applyBorder="1"/>
    <xf numFmtId="0" fontId="0" fillId="0" borderId="14" xfId="0" applyBorder="1"/>
    <xf numFmtId="0" fontId="0" fillId="0" borderId="19" xfId="0" applyBorder="1"/>
    <xf numFmtId="0" fontId="0" fillId="0" borderId="18" xfId="0" applyBorder="1"/>
    <xf numFmtId="0" fontId="0" fillId="0" borderId="16" xfId="0" applyBorder="1"/>
    <xf numFmtId="0" fontId="0" fillId="0" borderId="17" xfId="0" applyBorder="1"/>
    <xf numFmtId="0" fontId="0" fillId="0" borderId="20" xfId="0" applyBorder="1"/>
    <xf numFmtId="0" fontId="0" fillId="0" borderId="13" xfId="0" applyBorder="1"/>
    <xf numFmtId="0" fontId="0" fillId="0" borderId="15" xfId="0" applyBorder="1"/>
    <xf numFmtId="0" fontId="3" fillId="6" borderId="10" xfId="0" applyFont="1" applyFill="1" applyBorder="1" applyAlignment="1">
      <alignment horizontal="center" vertical="center"/>
    </xf>
    <xf numFmtId="0" fontId="3" fillId="5" borderId="10" xfId="0" applyFont="1" applyFill="1" applyBorder="1" applyAlignment="1">
      <alignment horizontal="center" vertical="center"/>
    </xf>
    <xf numFmtId="9" fontId="2" fillId="5" borderId="10" xfId="1" applyFont="1" applyFill="1"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9" borderId="10" xfId="0" applyFill="1" applyBorder="1" applyAlignment="1">
      <alignment horizontal="center" vertical="center"/>
    </xf>
    <xf numFmtId="0" fontId="0" fillId="10" borderId="10" xfId="0" applyFill="1" applyBorder="1" applyAlignment="1">
      <alignment horizontal="center" vertical="center"/>
    </xf>
    <xf numFmtId="0" fontId="3" fillId="11" borderId="10" xfId="0" applyFont="1" applyFill="1" applyBorder="1" applyAlignment="1">
      <alignment horizontal="center" vertical="center"/>
    </xf>
    <xf numFmtId="0" fontId="3" fillId="12" borderId="10" xfId="0" applyFont="1" applyFill="1" applyBorder="1" applyAlignment="1">
      <alignment horizontal="center" vertical="center"/>
    </xf>
    <xf numFmtId="0" fontId="2" fillId="12" borderId="10" xfId="0" applyFont="1" applyFill="1" applyBorder="1" applyAlignment="1">
      <alignment horizontal="center" vertical="center"/>
    </xf>
    <xf numFmtId="0" fontId="0" fillId="5" borderId="10" xfId="0" applyFill="1" applyBorder="1" applyAlignment="1">
      <alignment horizontal="center" vertical="center"/>
    </xf>
    <xf numFmtId="0" fontId="0" fillId="12" borderId="10" xfId="0"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0"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19" xfId="0" applyFont="1" applyFill="1" applyBorder="1" applyAlignment="1">
      <alignment horizontal="center" vertical="center"/>
    </xf>
    <xf numFmtId="0" fontId="4" fillId="8" borderId="20" xfId="0" applyFont="1" applyFill="1" applyBorder="1" applyAlignment="1">
      <alignment horizontal="center" vertical="center"/>
    </xf>
    <xf numFmtId="0" fontId="4" fillId="8" borderId="17"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15" xfId="0" applyFont="1" applyFill="1" applyBorder="1" applyAlignment="1">
      <alignment horizontal="center" vertical="center"/>
    </xf>
  </cellXfs>
  <cellStyles count="2">
    <cellStyle name="Normal" xfId="0" builtinId="0"/>
    <cellStyle name="Percent" xfId="1" builtinId="5"/>
  </cellStyles>
  <dxfs count="261">
    <dxf>
      <fill>
        <patternFill>
          <fgColor theme="5" tint="0.59999389629810485"/>
        </patternFill>
      </fill>
    </dxf>
    <dxf>
      <fill>
        <patternFill>
          <fgColor theme="0" tint="-0.14999847407452621"/>
        </patternFill>
      </fill>
    </dxf>
    <dxf>
      <fill>
        <patternFill>
          <fgColor theme="0" tint="-0.14999847407452621"/>
        </patternFill>
      </fill>
    </dxf>
    <dxf>
      <fill>
        <patternFill>
          <fgColor theme="6" tint="0.59999389629810485"/>
        </patternFill>
      </fill>
    </dxf>
    <dxf>
      <fill>
        <patternFill>
          <f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theme="0" tint="-0.14999847407452621"/>
        </patternFill>
      </fill>
      <alignment horizontal="center" vertical="center"/>
    </dxf>
    <dxf>
      <fill>
        <patternFill>
          <fgColor theme="0" tint="-0.14999847407452621"/>
        </patternFill>
      </fill>
      <alignment horizontal="center" vertical="center"/>
    </dxf>
    <dxf>
      <font>
        <b/>
      </font>
      <fill>
        <patternFill>
          <fgColor theme="5" tint="0.59999389629810485"/>
        </patternFill>
      </fill>
      <alignment horizontal="center" vertical="center"/>
    </dxf>
    <dxf>
      <fill>
        <patternFill>
          <fgColor indexed="64"/>
          <bgColor theme="6" tint="0.59999389629810485"/>
        </patternFill>
      </fill>
      <alignment horizontal="center"/>
    </dxf>
    <dxf>
      <fill>
        <patternFill>
          <fgColor indexed="64"/>
          <bgColor theme="5" tint="0.59999389629810485"/>
        </patternFill>
      </fill>
      <alignment horizontal="center"/>
    </dxf>
    <dxf>
      <alignment horizontal="center"/>
    </dxf>
    <dxf>
      <alignment vertical="center"/>
    </dxf>
    <dxf>
      <fill>
        <patternFill>
          <bgColor theme="5" tint="0.59999389629810485"/>
        </patternFill>
      </fill>
    </dxf>
    <dxf>
      <fill>
        <patternFill>
          <bgColor theme="0" tint="-0.14999847407452621"/>
        </patternFill>
      </fill>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bottom style="thin">
          <color theme="1"/>
        </bottom>
      </border>
    </dxf>
    <dxf>
      <border>
        <left style="thin">
          <color theme="1"/>
        </left>
        <right style="thin">
          <color theme="1"/>
        </right>
        <bottom style="thin">
          <color theme="1"/>
        </bottom>
      </border>
    </dxf>
    <dxf>
      <border>
        <left style="thin">
          <color theme="1"/>
        </left>
        <right style="thin">
          <color theme="1"/>
        </right>
        <bottom style="thin">
          <color theme="1"/>
        </bottom>
      </border>
    </dxf>
    <dxf>
      <border>
        <left style="thin">
          <color theme="1"/>
        </left>
        <right style="thin">
          <color theme="1"/>
        </right>
        <bottom style="thin">
          <color theme="1"/>
        </bottom>
      </border>
    </dxf>
    <dxf>
      <border>
        <left style="thin">
          <color theme="1"/>
        </left>
        <right style="thin">
          <color theme="1"/>
        </right>
        <bottom style="thin">
          <color theme="1"/>
        </bottom>
      </border>
    </dxf>
    <dxf>
      <border>
        <left style="thin">
          <color theme="1"/>
        </left>
        <right style="thin">
          <color theme="1"/>
        </right>
        <bottom style="thin">
          <color theme="1"/>
        </bottom>
      </border>
    </dxf>
    <dxf>
      <fill>
        <patternFill>
          <fgColor theme="0" tint="-0.14999847407452621"/>
        </patternFill>
      </fill>
      <alignment horizontal="center" vertical="center"/>
    </dxf>
    <dxf>
      <fill>
        <patternFill>
          <fgColor theme="0" tint="-0.14999847407452621"/>
        </patternFill>
      </fill>
      <alignment horizontal="center" vertical="center"/>
    </dxf>
    <dxf>
      <font>
        <b/>
      </font>
      <fill>
        <patternFill>
          <fgColor theme="5" tint="0.59999389629810485"/>
        </patternFill>
      </fill>
      <alignment horizontal="center" vertical="center"/>
    </dxf>
    <dxf>
      <fill>
        <patternFill>
          <fgColor indexed="64"/>
          <bgColor theme="6" tint="0.59999389629810485"/>
        </patternFill>
      </fill>
      <alignment horizontal="center"/>
    </dxf>
    <dxf>
      <alignment horizontal="center"/>
    </dxf>
    <dxf>
      <alignment vertical="center"/>
    </dxf>
    <dxf>
      <fill>
        <patternFill>
          <bgColor theme="5" tint="0.59999389629810485"/>
        </patternFill>
      </fill>
    </dxf>
    <dxf>
      <fill>
        <patternFill>
          <bgColor theme="0" tint="-0.14999847407452621"/>
        </patternFill>
      </fill>
    </dxf>
    <dxf>
      <alignment horizontal="right"/>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fgColor indexed="64"/>
          <bgColor theme="6" tint="0.59999389629810485"/>
        </patternFill>
      </fill>
      <alignment horizontal="center"/>
    </dxf>
    <dxf>
      <fill>
        <patternFill>
          <fgColor indexed="64"/>
          <bgColor theme="5" tint="0.59999389629810485"/>
        </patternFill>
      </fill>
      <alignment horizontal="center"/>
    </dxf>
    <dxf>
      <alignment horizontal="center"/>
    </dxf>
    <dxf>
      <alignment horizontal="center"/>
    </dxf>
    <dxf>
      <alignment horizontal="center"/>
    </dxf>
    <dxf>
      <alignment vertical="center"/>
    </dxf>
    <dxf>
      <alignment vertical="center"/>
    </dxf>
    <dxf>
      <alignment vertical="center"/>
    </dxf>
    <dxf>
      <fill>
        <patternFill>
          <bgColor theme="5" tint="0.59999389629810485"/>
        </patternFill>
      </fill>
    </dxf>
    <dxf>
      <fill>
        <patternFill>
          <bgColor theme="0" tint="-0.14999847407452621"/>
        </patternFill>
      </fill>
    </dxf>
    <dxf>
      <fill>
        <patternFill>
          <bgColor theme="0" tint="-0.14999847407452621"/>
        </patternFill>
      </fill>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b/>
      </font>
      <fill>
        <patternFill>
          <fgColor theme="5" tint="0.59999389629810485"/>
        </patternFill>
      </fill>
      <alignment horizontal="center" vertical="center"/>
    </dxf>
    <dxf>
      <fill>
        <patternFill>
          <fgColor theme="0" tint="-0.14999847407452621"/>
        </patternFill>
      </fill>
      <alignment horizontal="center" vertical="center"/>
    </dxf>
    <dxf>
      <fill>
        <patternFill>
          <fgColor theme="0" tint="-0.14999847407452621"/>
        </patternFill>
      </fill>
      <alignment horizontal="center"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indexed="64"/>
          <bgColor theme="6" tint="0.59999389629810485"/>
        </patternFill>
      </fill>
    </dxf>
    <dxf>
      <fill>
        <patternFill>
          <fgColor indexed="64"/>
          <bgColor theme="5" tint="0.59999389629810485"/>
        </patternFill>
      </fill>
    </dxf>
    <dxf>
      <font>
        <b/>
      </font>
      <fill>
        <patternFill>
          <fgColor theme="5" tint="0.59999389629810485"/>
        </patternFill>
      </fill>
      <alignment horizontal="center" vertical="center"/>
    </dxf>
    <dxf>
      <fill>
        <patternFill>
          <fgColor theme="0" tint="-0.14999847407452621"/>
        </patternFill>
      </fill>
      <alignment horizontal="center" vertical="center"/>
    </dxf>
    <dxf>
      <border>
        <bottom style="thin">
          <color theme="1"/>
        </bottom>
      </border>
    </dxf>
    <dxf>
      <border>
        <bottom style="thin">
          <color theme="1"/>
        </bottom>
      </border>
    </dxf>
    <dxf>
      <fill>
        <patternFill>
          <fgColor theme="0" tint="-0.14999847407452621"/>
        </patternFill>
      </fill>
    </dxf>
    <dxf>
      <fill>
        <patternFill>
          <fgColor theme="5" tint="0.59999389629810485"/>
        </patternFill>
      </fill>
    </dxf>
    <dxf>
      <fill>
        <patternFill>
          <bgColor theme="0"/>
        </patternFill>
      </fill>
    </dxf>
    <dxf>
      <fill>
        <patternFill>
          <bgColor theme="0"/>
        </patternFill>
      </fill>
    </dxf>
    <dxf>
      <fill>
        <patternFill>
          <bgColor theme="0"/>
        </patternFill>
      </fil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theme="0" tint="-0.14999847407452621"/>
        </patternFill>
      </fill>
      <alignment horizontal="center" vertical="center"/>
    </dxf>
    <dxf>
      <font>
        <b/>
      </font>
      <fill>
        <patternFill>
          <fgColor theme="5" tint="0.59999389629810485"/>
        </patternFill>
      </fill>
      <alignment horizontal="center" vertical="center"/>
    </dxf>
    <dxf>
      <fill>
        <patternFill>
          <fgColor indexed="64"/>
          <bgColor theme="6" tint="0.59999389629810485"/>
        </patternFill>
      </fill>
      <alignment horizontal="center"/>
    </dxf>
    <dxf>
      <fill>
        <patternFill>
          <fgColor indexed="64"/>
          <bgColor theme="5" tint="0.59999389629810485"/>
        </patternFill>
      </fill>
      <alignment horizontal="center"/>
    </dxf>
    <dxf>
      <alignment horizontal="center"/>
    </dxf>
    <dxf>
      <alignment vertical="center"/>
    </dxf>
    <dxf>
      <fill>
        <patternFill>
          <bgColor theme="5" tint="0.59999389629810485"/>
        </patternFill>
      </fill>
    </dxf>
    <dxf>
      <fill>
        <patternFill>
          <bgColor theme="0" tint="-0.14999847407452621"/>
        </patternFill>
      </fill>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top style="thin">
          <color theme="1"/>
        </top>
        <bottom style="thin">
          <color theme="1"/>
        </bottom>
      </border>
    </dxf>
    <dxf>
      <border>
        <top style="thin">
          <color theme="1"/>
        </top>
        <bottom style="thin">
          <color theme="1"/>
        </bottom>
      </border>
    </dxf>
    <dxf>
      <border>
        <top style="thin">
          <color theme="1"/>
        </top>
        <bottom style="thin">
          <color theme="1"/>
        </bottom>
      </border>
    </dxf>
    <dxf>
      <border>
        <top style="thin">
          <color theme="1"/>
        </top>
        <bottom style="thin">
          <color theme="1"/>
        </bottom>
      </border>
    </dxf>
    <dxf>
      <border>
        <top style="thin">
          <color theme="1"/>
        </top>
        <bottom style="thin">
          <color theme="1"/>
        </bottom>
      </border>
    </dxf>
    <dxf>
      <border>
        <top style="thin">
          <color theme="1"/>
        </top>
        <bottom style="thin">
          <color theme="1"/>
        </bottom>
      </border>
    </dxf>
    <dxf>
      <font>
        <b/>
        <sz val="12"/>
      </font>
      <fill>
        <patternFill>
          <fgColor theme="5" tint="0.59999389629810485"/>
        </patternFill>
      </fill>
      <alignment horizontal="center" vertical="center"/>
    </dxf>
    <dxf>
      <fill>
        <patternFill>
          <fgColor theme="0" tint="-0.14999847407452621"/>
        </patternFill>
      </fill>
      <alignment horizontal="center" vertical="center"/>
    </dxf>
    <dxf>
      <fill>
        <patternFill>
          <fgColor theme="0" tint="-0.14999847407452621"/>
        </patternFill>
      </fill>
      <alignment horizontal="center"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indexed="64"/>
          <bgColor theme="0" tint="-0.14999847407452621"/>
        </patternFill>
      </fill>
    </dxf>
    <dxf>
      <fill>
        <patternFill>
          <fgColor indexed="64"/>
          <bgColor theme="5" tint="0.59999389629810485"/>
        </patternFill>
      </fill>
    </dxf>
    <dxf>
      <fill>
        <patternFill>
          <fgColor indexed="64"/>
          <bgColor theme="6" tint="0.59999389629810485"/>
        </patternFill>
      </fill>
    </dxf>
    <dxf>
      <fill>
        <patternFill>
          <fgColor indexed="64"/>
          <bgColor theme="5" tint="0.59999389629810485"/>
        </patternFill>
      </fill>
    </dxf>
    <dxf>
      <font>
        <sz val="12"/>
      </font>
      <fill>
        <patternFill>
          <fgColor theme="6" tint="0.59999389629810485"/>
        </patternFill>
      </fill>
    </dxf>
    <dxf>
      <fill>
        <patternFill>
          <bgColor theme="0"/>
        </patternFill>
      </fill>
    </dxf>
    <dxf>
      <fill>
        <patternFill>
          <bgColor theme="0"/>
        </patternFill>
      </fil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theme="5" tint="0.59999389629810485"/>
        </patternFill>
      </fill>
    </dxf>
    <dxf>
      <fill>
        <patternFill>
          <fgColor theme="0" tint="-0.14999847407452621"/>
        </patternFill>
      </fill>
    </dxf>
    <dxf>
      <fill>
        <patternFill>
          <fgColor theme="6" tint="0.59999389629810485"/>
        </patternFill>
      </fill>
    </dxf>
    <dxf>
      <fill>
        <patternFill>
          <f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theme="0" tint="-0.14999847407452621"/>
        </patternFill>
      </fill>
      <alignment horizontal="center" vertical="center"/>
    </dxf>
    <dxf>
      <font>
        <b/>
      </font>
      <fill>
        <patternFill>
          <fgColor theme="5" tint="0.59999389629810485"/>
        </patternFill>
      </fill>
      <alignment horizontal="center" vertical="center"/>
    </dxf>
    <dxf>
      <fill>
        <patternFill>
          <fgColor indexed="64"/>
          <bgColor theme="6" tint="0.59999389629810485"/>
        </patternFill>
      </fill>
      <alignment horizontal="center"/>
    </dxf>
    <dxf>
      <fill>
        <patternFill>
          <fgColor indexed="64"/>
          <bgColor theme="5" tint="0.59999389629810485"/>
        </patternFill>
      </fill>
      <alignment horizontal="center"/>
    </dxf>
    <dxf>
      <alignment horizontal="center"/>
    </dxf>
    <dxf>
      <alignment vertical="center"/>
    </dxf>
    <dxf>
      <fill>
        <patternFill>
          <bgColor theme="5" tint="0.59999389629810485"/>
        </patternFill>
      </fill>
    </dxf>
    <dxf>
      <fill>
        <patternFill>
          <bgColor theme="0" tint="-0.14999847407452621"/>
        </patternFill>
      </fill>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indexed="64"/>
          <bgColor theme="6" tint="0.59999389629810485"/>
        </patternFill>
      </fill>
    </dxf>
    <dxf>
      <fill>
        <patternFill>
          <fgColor indexed="64"/>
          <bgColor theme="5" tint="0.59999389629810485"/>
        </patternFill>
      </fill>
    </dxf>
    <dxf>
      <font>
        <b/>
      </font>
      <fill>
        <patternFill>
          <fgColor theme="5" tint="0.59999389629810485"/>
        </patternFill>
      </fill>
      <alignment horizontal="center" vertical="center"/>
    </dxf>
    <dxf>
      <fill>
        <patternFill>
          <fgColor theme="0" tint="-0.14999847407452621"/>
        </patternFill>
      </fill>
      <alignment horizontal="center" vertical="center"/>
    </dxf>
    <dxf>
      <fill>
        <patternFill>
          <fgColor theme="0" tint="-0.14999847407452621"/>
        </patternFill>
      </fill>
      <alignment horizontal="center" vertical="center"/>
    </dxf>
    <dxf>
      <border>
        <bottom style="thin">
          <color theme="1"/>
        </bottom>
      </border>
    </dxf>
    <dxf>
      <border>
        <bottom style="thin">
          <color theme="1"/>
        </bottom>
      </border>
    </dxf>
    <dxf>
      <fill>
        <patternFill>
          <fgColor theme="0" tint="-0.14999847407452621"/>
        </patternFill>
      </fill>
    </dxf>
    <dxf>
      <fill>
        <patternFill>
          <fgColor theme="5" tint="0.59999389629810485"/>
        </patternFill>
      </fill>
    </dxf>
    <dxf>
      <fill>
        <patternFill>
          <bgColor theme="0"/>
        </patternFill>
      </fill>
    </dxf>
    <dxf>
      <fill>
        <patternFill>
          <bgColor theme="0"/>
        </patternFill>
      </fill>
    </dxf>
    <dxf>
      <fill>
        <patternFill>
          <bgColor theme="0"/>
        </patternFill>
      </fil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fgColor theme="0" tint="-0.14999847407452621"/>
        </patternFill>
      </fill>
      <alignment horizontal="center" vertical="center"/>
    </dxf>
    <dxf>
      <font>
        <b/>
      </font>
      <fill>
        <patternFill>
          <fgColor theme="5" tint="0.59999389629810485"/>
        </patternFill>
      </fill>
      <alignment horizontal="center" vertical="center"/>
    </dxf>
    <dxf>
      <fill>
        <patternFill>
          <fgColor indexed="64"/>
          <bgColor theme="6" tint="0.59999389629810485"/>
        </patternFill>
      </fill>
      <alignment horizontal="center"/>
    </dxf>
    <dxf>
      <fill>
        <patternFill>
          <fgColor indexed="64"/>
          <bgColor theme="5" tint="0.59999389629810485"/>
        </patternFill>
      </fill>
      <alignment horizontal="center"/>
    </dxf>
    <dxf>
      <alignment horizontal="center"/>
    </dxf>
    <dxf>
      <alignment vertical="center"/>
    </dxf>
    <dxf>
      <fill>
        <patternFill>
          <bgColor theme="5" tint="0.59999389629810485"/>
        </patternFill>
      </fill>
    </dxf>
    <dxf>
      <fill>
        <patternFill>
          <bgColor theme="0" tint="-0.14999847407452621"/>
        </patternFill>
      </fill>
    </dxf>
    <dxf>
      <font>
        <b/>
        <sz val="12"/>
      </font>
      <fill>
        <patternFill>
          <fgColor rgb="FF00B0F0"/>
        </patternFill>
      </fill>
      <alignment horizontal="center" vertical="center"/>
    </dxf>
    <dxf>
      <font>
        <b/>
        <sz val="12"/>
      </font>
      <fill>
        <patternFill>
          <fgColor rgb="FF00B0F0"/>
        </patternFill>
      </fill>
      <alignment horizontal="center"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indexed="64"/>
        </left>
        <right style="thin">
          <color indexed="64"/>
        </right>
        <top style="thin">
          <color theme="0"/>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i val="0"/>
        <sz val="9"/>
        <name val="Aptos Display"/>
        <family val="2"/>
        <scheme val="major"/>
      </font>
    </dxf>
  </dxfs>
  <tableStyles count="1" defaultTableStyle="TableStyleMedium2" defaultPivotStyle="PivotStyleLight16">
    <tableStyle name="Slicer Style 1" pivot="0" table="0" count="1" xr9:uid="{15E09D26-85F4-4953-B26C-8C39A4E99DEB}">
      <tableStyleElement type="wholeTable" dxfId="260"/>
    </tableStyle>
  </tableStyles>
  <colors>
    <mruColors>
      <color rgb="FF003F72"/>
      <color rgb="FFFFD200"/>
      <color rgb="FFF15A2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Funnel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'Cdt. Analysis'!$H$3</c:f>
              <c:strCache>
                <c:ptCount val="1"/>
                <c:pt idx="0">
                  <c:v>Total</c:v>
                </c:pt>
              </c:strCache>
            </c:strRef>
          </c:tx>
          <c:spPr>
            <a:solidFill>
              <a:schemeClr val="accent1"/>
            </a:solidFill>
            <a:ln>
              <a:noFill/>
            </a:ln>
            <a:effectLst/>
          </c:spPr>
          <c:invertIfNegative val="0"/>
          <c:cat>
            <c:strRef>
              <c:f>'Cdt. Analysis'!$G$4:$G$11</c:f>
              <c:strCache>
                <c:ptCount val="7"/>
                <c:pt idx="0">
                  <c:v>Applied</c:v>
                </c:pt>
                <c:pt idx="1">
                  <c:v>Interview</c:v>
                </c:pt>
                <c:pt idx="2">
                  <c:v>Joined</c:v>
                </c:pt>
                <c:pt idx="3">
                  <c:v>Offered</c:v>
                </c:pt>
                <c:pt idx="4">
                  <c:v>Rejected</c:v>
                </c:pt>
                <c:pt idx="5">
                  <c:v>Screening</c:v>
                </c:pt>
                <c:pt idx="6">
                  <c:v>Selected</c:v>
                </c:pt>
              </c:strCache>
            </c:strRef>
          </c:cat>
          <c:val>
            <c:numRef>
              <c:f>'Cdt. Analysis'!$H$4:$H$11</c:f>
              <c:numCache>
                <c:formatCode>General</c:formatCode>
                <c:ptCount val="7"/>
                <c:pt idx="0">
                  <c:v>31</c:v>
                </c:pt>
                <c:pt idx="1">
                  <c:v>27</c:v>
                </c:pt>
                <c:pt idx="2">
                  <c:v>26</c:v>
                </c:pt>
                <c:pt idx="3">
                  <c:v>29</c:v>
                </c:pt>
                <c:pt idx="4">
                  <c:v>17</c:v>
                </c:pt>
                <c:pt idx="5">
                  <c:v>32</c:v>
                </c:pt>
                <c:pt idx="6">
                  <c:v>38</c:v>
                </c:pt>
              </c:numCache>
            </c:numRef>
          </c:val>
          <c:extLst>
            <c:ext xmlns:c16="http://schemas.microsoft.com/office/drawing/2014/chart" uri="{C3380CC4-5D6E-409C-BE32-E72D297353CC}">
              <c16:uniqueId val="{00000000-BB6D-4403-BB42-F10B367502ED}"/>
            </c:ext>
          </c:extLst>
        </c:ser>
        <c:dLbls>
          <c:showLegendKey val="0"/>
          <c:showVal val="0"/>
          <c:showCatName val="0"/>
          <c:showSerName val="0"/>
          <c:showPercent val="0"/>
          <c:showBubbleSize val="0"/>
        </c:dLbls>
        <c:gapWidth val="150"/>
        <c:overlap val="100"/>
        <c:axId val="2047467936"/>
        <c:axId val="1933327584"/>
      </c:barChart>
      <c:catAx>
        <c:axId val="20474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27584"/>
        <c:crosses val="autoZero"/>
        <c:auto val="1"/>
        <c:lblAlgn val="ctr"/>
        <c:lblOffset val="100"/>
        <c:noMultiLvlLbl val="0"/>
      </c:catAx>
      <c:valAx>
        <c:axId val="193332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'Cdt. Analysis'!$C$13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'Cdt. Analysis'!$B$14:$B$20</c:f>
              <c:strCache>
                <c:ptCount val="6"/>
                <c:pt idx="0">
                  <c:v>Jan</c:v>
                </c:pt>
                <c:pt idx="1">
                  <c:v>Feb</c:v>
                </c:pt>
                <c:pt idx="2">
                  <c:v>Mar</c:v>
                </c:pt>
                <c:pt idx="3">
                  <c:v>Apr</c:v>
                </c:pt>
                <c:pt idx="4">
                  <c:v>May</c:v>
                </c:pt>
                <c:pt idx="5">
                  <c:v>Jun</c:v>
                </c:pt>
              </c:strCache>
            </c:strRef>
          </c:cat>
          <c:val>
            <c:numRef>
              <c:f>'Cdt. Analysis'!$C$14:$C$20</c:f>
              <c:numCache>
                <c:formatCode>General</c:formatCode>
                <c:ptCount val="6"/>
                <c:pt idx="0">
                  <c:v>39</c:v>
                </c:pt>
                <c:pt idx="1">
                  <c:v>27</c:v>
                </c:pt>
                <c:pt idx="2">
                  <c:v>38</c:v>
                </c:pt>
                <c:pt idx="3">
                  <c:v>26</c:v>
                </c:pt>
                <c:pt idx="4">
                  <c:v>38</c:v>
                </c:pt>
                <c:pt idx="5">
                  <c:v>32</c:v>
                </c:pt>
              </c:numCache>
            </c:numRef>
          </c:val>
          <c:smooth val="0"/>
          <c:extLst>
            <c:ext xmlns:c16="http://schemas.microsoft.com/office/drawing/2014/chart" uri="{C3380CC4-5D6E-409C-BE32-E72D297353CC}">
              <c16:uniqueId val="{00000000-A072-4EE1-A0BE-91C53FACBD1D}"/>
            </c:ext>
          </c:extLst>
        </c:ser>
        <c:dLbls>
          <c:showLegendKey val="0"/>
          <c:showVal val="0"/>
          <c:showCatName val="0"/>
          <c:showSerName val="0"/>
          <c:showPercent val="0"/>
          <c:showBubbleSize val="0"/>
        </c:dLbls>
        <c:marker val="1"/>
        <c:smooth val="0"/>
        <c:axId val="522120208"/>
        <c:axId val="1933375104"/>
      </c:lineChart>
      <c:catAx>
        <c:axId val="5221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75104"/>
        <c:crosses val="autoZero"/>
        <c:auto val="1"/>
        <c:lblAlgn val="ctr"/>
        <c:lblOffset val="100"/>
        <c:noMultiLvlLbl val="0"/>
      </c:catAx>
      <c:valAx>
        <c:axId val="193337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'Cdt. Analysis'!$G$16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94-47D1-AA78-7EE1082E35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94-47D1-AA78-7EE1082E35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94-47D1-AA78-7EE1082E35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94-47D1-AA78-7EE1082E35C4}"/>
              </c:ext>
            </c:extLst>
          </c:dPt>
          <c:cat>
            <c:strRef>
              <c:f>'Cdt. Analysis'!$F$17:$F$21</c:f>
              <c:strCache>
                <c:ptCount val="4"/>
                <c:pt idx="0">
                  <c:v>Aman</c:v>
                </c:pt>
                <c:pt idx="1">
                  <c:v>Deepak</c:v>
                </c:pt>
                <c:pt idx="2">
                  <c:v>Riya</c:v>
                </c:pt>
                <c:pt idx="3">
                  <c:v>Sonal</c:v>
                </c:pt>
              </c:strCache>
            </c:strRef>
          </c:cat>
          <c:val>
            <c:numRef>
              <c:f>'Cdt. Analysis'!$G$17:$G$21</c:f>
              <c:numCache>
                <c:formatCode>General</c:formatCode>
                <c:ptCount val="4"/>
                <c:pt idx="0">
                  <c:v>58</c:v>
                </c:pt>
                <c:pt idx="1">
                  <c:v>52</c:v>
                </c:pt>
                <c:pt idx="2">
                  <c:v>39</c:v>
                </c:pt>
                <c:pt idx="3">
                  <c:v>51</c:v>
                </c:pt>
              </c:numCache>
            </c:numRef>
          </c:val>
          <c:extLst>
            <c:ext xmlns:c16="http://schemas.microsoft.com/office/drawing/2014/chart" uri="{C3380CC4-5D6E-409C-BE32-E72D297353CC}">
              <c16:uniqueId val="{00000000-7921-4775-9668-8363A9EA96C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Analysis!PivotTable8</c:name>
    <c:fmtId val="10"/>
  </c:pivotSource>
  <c:chart>
    <c:title>
      <c:tx>
        <c:rich>
          <a:bodyPr rot="0" spcFirstLastPara="1" vertOverflow="ellipsis" vert="horz" wrap="square" anchor="ctr" anchorCtr="1"/>
          <a:lstStyle/>
          <a:p>
            <a:pPr>
              <a:defRPr sz="900" b="1" i="0" u="none" strike="noStrike" kern="1200" spc="0" baseline="0">
                <a:solidFill>
                  <a:schemeClr val="tx2"/>
                </a:solidFill>
                <a:latin typeface="Aptos" panose="020B0004020202020204" pitchFamily="34" charset="0"/>
                <a:ea typeface="+mn-ea"/>
                <a:cs typeface="+mn-cs"/>
              </a:defRPr>
            </a:pPr>
            <a:r>
              <a:rPr lang="en-US" sz="900" b="1">
                <a:solidFill>
                  <a:schemeClr val="tx2"/>
                </a:solidFill>
                <a:latin typeface="Aptos" panose="020B0004020202020204" pitchFamily="34" charset="0"/>
              </a:rPr>
              <a:t>RECRUITMENT</a:t>
            </a:r>
            <a:r>
              <a:rPr lang="en-US" sz="900" b="1" baseline="0">
                <a:solidFill>
                  <a:schemeClr val="tx2"/>
                </a:solidFill>
                <a:latin typeface="Aptos" panose="020B0004020202020204" pitchFamily="34" charset="0"/>
              </a:rPr>
              <a:t> SOURCES</a:t>
            </a:r>
            <a:endParaRPr lang="en-US" sz="900" b="1">
              <a:solidFill>
                <a:schemeClr val="tx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'Cdt. Analysis'!$M$4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4A8-4FA4-9F59-9F5CC64D727D}"/>
              </c:ext>
            </c:extLst>
          </c:dPt>
          <c:dPt>
            <c:idx val="1"/>
            <c:bubble3D val="0"/>
            <c:spPr>
              <a:solidFill>
                <a:schemeClr val="accent2"/>
              </a:solidFill>
              <a:ln>
                <a:noFill/>
              </a:ln>
              <a:effectLst/>
            </c:spPr>
            <c:extLst>
              <c:ext xmlns:c16="http://schemas.microsoft.com/office/drawing/2014/chart" uri="{C3380CC4-5D6E-409C-BE32-E72D297353CC}">
                <c16:uniqueId val="{00000003-E4A8-4FA4-9F59-9F5CC64D727D}"/>
              </c:ext>
            </c:extLst>
          </c:dPt>
          <c:dPt>
            <c:idx val="2"/>
            <c:bubble3D val="0"/>
            <c:spPr>
              <a:solidFill>
                <a:schemeClr val="accent3"/>
              </a:solidFill>
              <a:ln>
                <a:noFill/>
              </a:ln>
              <a:effectLst/>
            </c:spPr>
            <c:extLst>
              <c:ext xmlns:c16="http://schemas.microsoft.com/office/drawing/2014/chart" uri="{C3380CC4-5D6E-409C-BE32-E72D297353CC}">
                <c16:uniqueId val="{00000005-E4A8-4FA4-9F59-9F5CC64D727D}"/>
              </c:ext>
            </c:extLst>
          </c:dPt>
          <c:dPt>
            <c:idx val="3"/>
            <c:bubble3D val="0"/>
            <c:spPr>
              <a:solidFill>
                <a:schemeClr val="accent4"/>
              </a:solidFill>
              <a:ln>
                <a:noFill/>
              </a:ln>
              <a:effectLst/>
            </c:spPr>
            <c:extLst>
              <c:ext xmlns:c16="http://schemas.microsoft.com/office/drawing/2014/chart" uri="{C3380CC4-5D6E-409C-BE32-E72D297353CC}">
                <c16:uniqueId val="{00000007-E4A8-4FA4-9F59-9F5CC64D727D}"/>
              </c:ext>
            </c:extLst>
          </c:dPt>
          <c:dPt>
            <c:idx val="4"/>
            <c:bubble3D val="0"/>
            <c:spPr>
              <a:solidFill>
                <a:schemeClr val="accent5"/>
              </a:solidFill>
              <a:ln>
                <a:noFill/>
              </a:ln>
              <a:effectLst/>
            </c:spPr>
            <c:extLst>
              <c:ext xmlns:c16="http://schemas.microsoft.com/office/drawing/2014/chart" uri="{C3380CC4-5D6E-409C-BE32-E72D297353CC}">
                <c16:uniqueId val="{00000009-E4A8-4FA4-9F59-9F5CC64D727D}"/>
              </c:ext>
            </c:extLst>
          </c:dPt>
          <c:cat>
            <c:strRef>
              <c:f>'Cdt. Analysis'!$L$5:$L$10</c:f>
              <c:strCache>
                <c:ptCount val="5"/>
                <c:pt idx="0">
                  <c:v>Campus</c:v>
                </c:pt>
                <c:pt idx="1">
                  <c:v>Indeed</c:v>
                </c:pt>
                <c:pt idx="2">
                  <c:v>LinkedIn</c:v>
                </c:pt>
                <c:pt idx="3">
                  <c:v>Naukri</c:v>
                </c:pt>
                <c:pt idx="4">
                  <c:v>Referral</c:v>
                </c:pt>
              </c:strCache>
            </c:strRef>
          </c:cat>
          <c:val>
            <c:numRef>
              <c:f>'Cdt. Analysis'!$M$5:$M$10</c:f>
              <c:numCache>
                <c:formatCode>General</c:formatCode>
                <c:ptCount val="5"/>
                <c:pt idx="0">
                  <c:v>46</c:v>
                </c:pt>
                <c:pt idx="1">
                  <c:v>35</c:v>
                </c:pt>
                <c:pt idx="2">
                  <c:v>43</c:v>
                </c:pt>
                <c:pt idx="3">
                  <c:v>38</c:v>
                </c:pt>
                <c:pt idx="4">
                  <c:v>38</c:v>
                </c:pt>
              </c:numCache>
            </c:numRef>
          </c:val>
          <c:extLst>
            <c:ext xmlns:c16="http://schemas.microsoft.com/office/drawing/2014/chart" uri="{C3380CC4-5D6E-409C-BE32-E72D297353CC}">
              <c16:uniqueId val="{00000000-F79E-4E4E-8B7B-98DA5E3387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789915926246456"/>
          <c:y val="0.14739664202195032"/>
          <c:w val="0.29978344310268235"/>
          <c:h val="0.810980601225477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Analysis!PivotTable6</c:name>
    <c:fmtId val="2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Aptos" panose="020B0004020202020204" pitchFamily="34" charset="0"/>
                <a:ea typeface="+mn-ea"/>
                <a:cs typeface="+mn-cs"/>
              </a:defRPr>
            </a:pPr>
            <a:r>
              <a:rPr lang="en-US" sz="900" b="1">
                <a:latin typeface="Aptos" panose="020B0004020202020204" pitchFamily="34" charset="0"/>
              </a:rPr>
              <a:t>GENDER</a:t>
            </a:r>
            <a:r>
              <a:rPr lang="en-US" sz="900" b="1" baseline="0">
                <a:latin typeface="Aptos" panose="020B0004020202020204" pitchFamily="34" charset="0"/>
              </a:rPr>
              <a:t> WISE COUNT</a:t>
            </a:r>
            <a:endParaRPr lang="en-US" sz="9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'Cdt. Analysis'!$L$19</c:f>
              <c:strCache>
                <c:ptCount val="1"/>
                <c:pt idx="0">
                  <c:v>Total</c:v>
                </c:pt>
              </c:strCache>
            </c:strRef>
          </c:tx>
          <c:spPr>
            <a:solidFill>
              <a:schemeClr val="accent1"/>
            </a:solidFill>
            <a:ln>
              <a:noFill/>
            </a:ln>
            <a:effectLst/>
          </c:spPr>
          <c:invertIfNegative val="0"/>
          <c:cat>
            <c:strRef>
              <c:f>'Cdt. Analysis'!$K$20:$K$22</c:f>
              <c:strCache>
                <c:ptCount val="2"/>
                <c:pt idx="0">
                  <c:v>Female</c:v>
                </c:pt>
                <c:pt idx="1">
                  <c:v>Male</c:v>
                </c:pt>
              </c:strCache>
            </c:strRef>
          </c:cat>
          <c:val>
            <c:numRef>
              <c:f>'Cdt. Analysis'!$L$20:$L$22</c:f>
              <c:numCache>
                <c:formatCode>General</c:formatCode>
                <c:ptCount val="2"/>
                <c:pt idx="0">
                  <c:v>99</c:v>
                </c:pt>
                <c:pt idx="1">
                  <c:v>101</c:v>
                </c:pt>
              </c:numCache>
            </c:numRef>
          </c:val>
          <c:extLst>
            <c:ext xmlns:c16="http://schemas.microsoft.com/office/drawing/2014/chart" uri="{C3380CC4-5D6E-409C-BE32-E72D297353CC}">
              <c16:uniqueId val="{00000000-A82D-4344-90C6-391690E5C47E}"/>
            </c:ext>
          </c:extLst>
        </c:ser>
        <c:dLbls>
          <c:showLegendKey val="0"/>
          <c:showVal val="0"/>
          <c:showCatName val="0"/>
          <c:showSerName val="0"/>
          <c:showPercent val="0"/>
          <c:showBubbleSize val="0"/>
        </c:dLbls>
        <c:gapWidth val="219"/>
        <c:overlap val="-27"/>
        <c:axId val="530501856"/>
        <c:axId val="1933324224"/>
      </c:barChart>
      <c:catAx>
        <c:axId val="5305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24224"/>
        <c:crosses val="autoZero"/>
        <c:auto val="1"/>
        <c:lblAlgn val="ctr"/>
        <c:lblOffset val="100"/>
        <c:noMultiLvlLbl val="0"/>
      </c:catAx>
      <c:valAx>
        <c:axId val="193332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'Cdt. Analysis'!$C$24</c:f>
              <c:strCache>
                <c:ptCount val="1"/>
                <c:pt idx="0">
                  <c:v>Total</c:v>
                </c:pt>
              </c:strCache>
            </c:strRef>
          </c:tx>
          <c:spPr>
            <a:solidFill>
              <a:schemeClr val="accent1"/>
            </a:solidFill>
            <a:ln>
              <a:noFill/>
            </a:ln>
            <a:effectLst/>
          </c:spPr>
          <c:invertIfNegative val="0"/>
          <c:cat>
            <c:strRef>
              <c:f>'Cdt. Analysis'!$B$25:$B$28</c:f>
              <c:strCache>
                <c:ptCount val="3"/>
                <c:pt idx="0">
                  <c:v>Delhi</c:v>
                </c:pt>
                <c:pt idx="1">
                  <c:v>Gurgaon</c:v>
                </c:pt>
                <c:pt idx="2">
                  <c:v>Noida</c:v>
                </c:pt>
              </c:strCache>
            </c:strRef>
          </c:cat>
          <c:val>
            <c:numRef>
              <c:f>'Cdt. Analysis'!$C$25:$C$28</c:f>
              <c:numCache>
                <c:formatCode>General</c:formatCode>
                <c:ptCount val="3"/>
                <c:pt idx="0">
                  <c:v>67</c:v>
                </c:pt>
                <c:pt idx="1">
                  <c:v>63</c:v>
                </c:pt>
                <c:pt idx="2">
                  <c:v>70</c:v>
                </c:pt>
              </c:numCache>
            </c:numRef>
          </c:val>
          <c:extLst>
            <c:ext xmlns:c16="http://schemas.microsoft.com/office/drawing/2014/chart" uri="{C3380CC4-5D6E-409C-BE32-E72D297353CC}">
              <c16:uniqueId val="{00000000-2E43-4535-85A5-17D86E2C45E6}"/>
            </c:ext>
          </c:extLst>
        </c:ser>
        <c:dLbls>
          <c:showLegendKey val="0"/>
          <c:showVal val="0"/>
          <c:showCatName val="0"/>
          <c:showSerName val="0"/>
          <c:showPercent val="0"/>
          <c:showBubbleSize val="0"/>
        </c:dLbls>
        <c:gapWidth val="150"/>
        <c:overlap val="100"/>
        <c:axId val="1826617760"/>
        <c:axId val="1933355424"/>
      </c:barChart>
      <c:catAx>
        <c:axId val="182661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55424"/>
        <c:crosses val="autoZero"/>
        <c:auto val="1"/>
        <c:lblAlgn val="ctr"/>
        <c:lblOffset val="100"/>
        <c:noMultiLvlLbl val="0"/>
      </c:catAx>
      <c:valAx>
        <c:axId val="193335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Analysis!PivotTable2</c:name>
    <c:fmtId val="60"/>
  </c:pivotSource>
  <c:chart>
    <c:title>
      <c:tx>
        <c:rich>
          <a:bodyPr rot="0" spcFirstLastPara="1" vertOverflow="ellipsis" vert="horz" wrap="square" anchor="ctr" anchorCtr="1"/>
          <a:lstStyle/>
          <a:p>
            <a:pPr>
              <a:defRPr sz="900" b="0" i="0" u="none" strike="noStrike" kern="1200" spc="0" baseline="0">
                <a:solidFill>
                  <a:srgbClr val="002060"/>
                </a:solidFill>
                <a:latin typeface="+mn-lt"/>
                <a:ea typeface="+mn-ea"/>
                <a:cs typeface="+mn-cs"/>
              </a:defRPr>
            </a:pPr>
            <a:r>
              <a:rPr lang="en-IN" sz="900" b="1" i="0" u="none" strike="noStrike" kern="1200" spc="0" baseline="0">
                <a:solidFill>
                  <a:srgbClr val="002060"/>
                </a:solidFill>
                <a:latin typeface="Aptos" panose="020B0004020202020204" pitchFamily="34" charset="0"/>
              </a:rPr>
              <a:t>RECRUITMENT FUNNEL</a:t>
            </a:r>
            <a:endParaRPr lang="en-US" sz="900">
              <a:solidFill>
                <a:srgbClr val="002060"/>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85000"/>
              <a:lumOff val="15000"/>
            </a:schemeClr>
          </a:solidFill>
          <a:ln>
            <a:noFill/>
          </a:ln>
          <a:effectLst/>
        </c:spPr>
      </c:pivotFmt>
      <c:pivotFmt>
        <c:idx val="5"/>
        <c:spPr>
          <a:solidFill>
            <a:schemeClr val="tx1">
              <a:lumMod val="85000"/>
              <a:lumOff val="15000"/>
            </a:schemeClr>
          </a:solidFill>
          <a:ln>
            <a:noFill/>
          </a:ln>
          <a:effectLst/>
        </c:spPr>
      </c:pivotFmt>
      <c:pivotFmt>
        <c:idx val="6"/>
        <c:spPr>
          <a:solidFill>
            <a:srgbClr val="003F72"/>
          </a:solidFill>
          <a:ln>
            <a:noFill/>
          </a:ln>
          <a:effectLst/>
        </c:spPr>
      </c:pivotFmt>
      <c:pivotFmt>
        <c:idx val="7"/>
        <c:spPr>
          <a:solidFill>
            <a:srgbClr val="003F72"/>
          </a:solidFill>
          <a:ln>
            <a:noFill/>
          </a:ln>
          <a:effectLst/>
        </c:spPr>
      </c:pivotFmt>
      <c:pivotFmt>
        <c:idx val="8"/>
        <c:spPr>
          <a:solidFill>
            <a:srgbClr val="003F72"/>
          </a:solidFill>
          <a:ln>
            <a:noFill/>
          </a:ln>
          <a:effectLst/>
        </c:spPr>
      </c:pivotFmt>
      <c:pivotFmt>
        <c:idx val="9"/>
        <c:spPr>
          <a:solidFill>
            <a:srgbClr val="003F72"/>
          </a:solidFill>
          <a:ln>
            <a:noFill/>
          </a:ln>
          <a:effectLst/>
        </c:spPr>
      </c:pivotFmt>
    </c:pivotFmts>
    <c:plotArea>
      <c:layout>
        <c:manualLayout>
          <c:layoutTarget val="inner"/>
          <c:xMode val="edge"/>
          <c:yMode val="edge"/>
          <c:x val="7.7440582381719636E-2"/>
          <c:y val="0.23437610397985048"/>
          <c:w val="0.90314193694211364"/>
          <c:h val="0.61953682354334372"/>
        </c:manualLayout>
      </c:layout>
      <c:barChart>
        <c:barDir val="col"/>
        <c:grouping val="stacked"/>
        <c:varyColors val="0"/>
        <c:ser>
          <c:idx val="0"/>
          <c:order val="0"/>
          <c:tx>
            <c:strRef>
              <c:f>'Cdt. Analysis'!$H$3</c:f>
              <c:strCache>
                <c:ptCount val="1"/>
                <c:pt idx="0">
                  <c:v>Total</c:v>
                </c:pt>
              </c:strCache>
            </c:strRef>
          </c:tx>
          <c:spPr>
            <a:solidFill>
              <a:schemeClr val="accent1"/>
            </a:solidFill>
            <a:ln>
              <a:noFill/>
            </a:ln>
            <a:effectLst/>
          </c:spPr>
          <c:invertIfNegative val="0"/>
          <c:dPt>
            <c:idx val="0"/>
            <c:invertIfNegative val="0"/>
            <c:bubble3D val="0"/>
            <c:spPr>
              <a:solidFill>
                <a:srgbClr val="003F72"/>
              </a:solidFill>
              <a:ln>
                <a:noFill/>
              </a:ln>
              <a:effectLst/>
            </c:spPr>
            <c:extLst>
              <c:ext xmlns:c16="http://schemas.microsoft.com/office/drawing/2014/chart" uri="{C3380CC4-5D6E-409C-BE32-E72D297353CC}">
                <c16:uniqueId val="{00000009-B46E-4351-9173-0C4FC4D3D73A}"/>
              </c:ext>
            </c:extLst>
          </c:dPt>
          <c:dPt>
            <c:idx val="1"/>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EDBF-4A47-B518-2F971E697EF2}"/>
              </c:ext>
            </c:extLst>
          </c:dPt>
          <c:dPt>
            <c:idx val="2"/>
            <c:invertIfNegative val="0"/>
            <c:bubble3D val="0"/>
            <c:spPr>
              <a:solidFill>
                <a:srgbClr val="003F72"/>
              </a:solidFill>
              <a:ln>
                <a:noFill/>
              </a:ln>
              <a:effectLst/>
            </c:spPr>
            <c:extLst>
              <c:ext xmlns:c16="http://schemas.microsoft.com/office/drawing/2014/chart" uri="{C3380CC4-5D6E-409C-BE32-E72D297353CC}">
                <c16:uniqueId val="{00000008-B46E-4351-9173-0C4FC4D3D73A}"/>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2-EDBF-4A47-B518-2F971E697EF2}"/>
              </c:ext>
            </c:extLst>
          </c:dPt>
          <c:dPt>
            <c:idx val="4"/>
            <c:invertIfNegative val="0"/>
            <c:bubble3D val="0"/>
            <c:spPr>
              <a:solidFill>
                <a:srgbClr val="003F72"/>
              </a:solidFill>
              <a:ln>
                <a:noFill/>
              </a:ln>
              <a:effectLst/>
            </c:spPr>
            <c:extLst>
              <c:ext xmlns:c16="http://schemas.microsoft.com/office/drawing/2014/chart" uri="{C3380CC4-5D6E-409C-BE32-E72D297353CC}">
                <c16:uniqueId val="{00000007-B46E-4351-9173-0C4FC4D3D73A}"/>
              </c:ext>
            </c:extLst>
          </c:dPt>
          <c:dPt>
            <c:idx val="5"/>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3-EDBF-4A47-B518-2F971E697EF2}"/>
              </c:ext>
            </c:extLst>
          </c:dPt>
          <c:dPt>
            <c:idx val="6"/>
            <c:invertIfNegative val="0"/>
            <c:bubble3D val="0"/>
            <c:spPr>
              <a:solidFill>
                <a:srgbClr val="003F72"/>
              </a:solidFill>
              <a:ln>
                <a:noFill/>
              </a:ln>
              <a:effectLst/>
            </c:spPr>
            <c:extLst>
              <c:ext xmlns:c16="http://schemas.microsoft.com/office/drawing/2014/chart" uri="{C3380CC4-5D6E-409C-BE32-E72D297353CC}">
                <c16:uniqueId val="{00000006-B46E-4351-9173-0C4FC4D3D7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'Cdt. Analysis'!$G$4:$G$11</c:f>
              <c:strCache>
                <c:ptCount val="7"/>
                <c:pt idx="0">
                  <c:v>Applied</c:v>
                </c:pt>
                <c:pt idx="1">
                  <c:v>Interview</c:v>
                </c:pt>
                <c:pt idx="2">
                  <c:v>Joined</c:v>
                </c:pt>
                <c:pt idx="3">
                  <c:v>Offered</c:v>
                </c:pt>
                <c:pt idx="4">
                  <c:v>Rejected</c:v>
                </c:pt>
                <c:pt idx="5">
                  <c:v>Screening</c:v>
                </c:pt>
                <c:pt idx="6">
                  <c:v>Selected</c:v>
                </c:pt>
              </c:strCache>
            </c:strRef>
          </c:cat>
          <c:val>
            <c:numRef>
              <c:f>'Cdt. Analysis'!$H$4:$H$11</c:f>
              <c:numCache>
                <c:formatCode>General</c:formatCode>
                <c:ptCount val="7"/>
                <c:pt idx="0">
                  <c:v>31</c:v>
                </c:pt>
                <c:pt idx="1">
                  <c:v>27</c:v>
                </c:pt>
                <c:pt idx="2">
                  <c:v>26</c:v>
                </c:pt>
                <c:pt idx="3">
                  <c:v>29</c:v>
                </c:pt>
                <c:pt idx="4">
                  <c:v>17</c:v>
                </c:pt>
                <c:pt idx="5">
                  <c:v>32</c:v>
                </c:pt>
                <c:pt idx="6">
                  <c:v>38</c:v>
                </c:pt>
              </c:numCache>
            </c:numRef>
          </c:val>
          <c:extLst>
            <c:ext xmlns:c16="http://schemas.microsoft.com/office/drawing/2014/chart" uri="{C3380CC4-5D6E-409C-BE32-E72D297353CC}">
              <c16:uniqueId val="{00000000-EDBF-4A47-B518-2F971E697EF2}"/>
            </c:ext>
          </c:extLst>
        </c:ser>
        <c:dLbls>
          <c:dLblPos val="ctr"/>
          <c:showLegendKey val="0"/>
          <c:showVal val="1"/>
          <c:showCatName val="0"/>
          <c:showSerName val="0"/>
          <c:showPercent val="0"/>
          <c:showBubbleSize val="0"/>
        </c:dLbls>
        <c:gapWidth val="150"/>
        <c:overlap val="100"/>
        <c:axId val="2047467936"/>
        <c:axId val="1933327584"/>
      </c:barChart>
      <c:catAx>
        <c:axId val="20474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933327584"/>
        <c:crosses val="autoZero"/>
        <c:auto val="1"/>
        <c:lblAlgn val="ctr"/>
        <c:lblOffset val="100"/>
        <c:noMultiLvlLbl val="0"/>
      </c:catAx>
      <c:valAx>
        <c:axId val="193332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0474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2060"/>
                </a:solidFill>
                <a:latin typeface="+mn-lt"/>
                <a:ea typeface="+mn-ea"/>
                <a:cs typeface="+mn-cs"/>
              </a:defRPr>
            </a:pPr>
            <a:r>
              <a:rPr lang="en-IN" sz="900" b="1" i="0" u="none" strike="noStrike" kern="1200" spc="0" baseline="0">
                <a:solidFill>
                  <a:srgbClr val="002060"/>
                </a:solidFill>
                <a:latin typeface="Aptos" panose="020B0004020202020204" pitchFamily="34" charset="0"/>
              </a:rPr>
              <a:t>MONTHLY APPLICATION TREND</a:t>
            </a:r>
            <a:endParaRPr lang="en-US" sz="900" b="0" i="0" u="none" strike="noStrike" kern="1200" spc="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'Cdt. Analysis'!$C$13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'Cdt. Analysis'!$B$14:$B$20</c:f>
              <c:strCache>
                <c:ptCount val="6"/>
                <c:pt idx="0">
                  <c:v>Jan</c:v>
                </c:pt>
                <c:pt idx="1">
                  <c:v>Feb</c:v>
                </c:pt>
                <c:pt idx="2">
                  <c:v>Mar</c:v>
                </c:pt>
                <c:pt idx="3">
                  <c:v>Apr</c:v>
                </c:pt>
                <c:pt idx="4">
                  <c:v>May</c:v>
                </c:pt>
                <c:pt idx="5">
                  <c:v>Jun</c:v>
                </c:pt>
              </c:strCache>
            </c:strRef>
          </c:cat>
          <c:val>
            <c:numRef>
              <c:f>'Cdt. Analysis'!$C$14:$C$20</c:f>
              <c:numCache>
                <c:formatCode>General</c:formatCode>
                <c:ptCount val="6"/>
                <c:pt idx="0">
                  <c:v>39</c:v>
                </c:pt>
                <c:pt idx="1">
                  <c:v>27</c:v>
                </c:pt>
                <c:pt idx="2">
                  <c:v>38</c:v>
                </c:pt>
                <c:pt idx="3">
                  <c:v>26</c:v>
                </c:pt>
                <c:pt idx="4">
                  <c:v>38</c:v>
                </c:pt>
                <c:pt idx="5">
                  <c:v>32</c:v>
                </c:pt>
              </c:numCache>
            </c:numRef>
          </c:val>
          <c:smooth val="0"/>
          <c:extLst>
            <c:ext xmlns:c16="http://schemas.microsoft.com/office/drawing/2014/chart" uri="{C3380CC4-5D6E-409C-BE32-E72D297353CC}">
              <c16:uniqueId val="{00000000-5EFE-4338-B5B0-0AE5C861CB91}"/>
            </c:ext>
          </c:extLst>
        </c:ser>
        <c:dLbls>
          <c:showLegendKey val="0"/>
          <c:showVal val="0"/>
          <c:showCatName val="0"/>
          <c:showSerName val="0"/>
          <c:showPercent val="0"/>
          <c:showBubbleSize val="0"/>
        </c:dLbls>
        <c:marker val="1"/>
        <c:smooth val="0"/>
        <c:axId val="522120208"/>
        <c:axId val="1933375104"/>
      </c:lineChart>
      <c:catAx>
        <c:axId val="5221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933375104"/>
        <c:crosses val="autoZero"/>
        <c:auto val="1"/>
        <c:lblAlgn val="ctr"/>
        <c:lblOffset val="100"/>
        <c:noMultiLvlLbl val="0"/>
      </c:catAx>
      <c:valAx>
        <c:axId val="193337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221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Analysis!PivotTable4</c:name>
    <c:fmtId val="13"/>
  </c:pivotSource>
  <c:chart>
    <c:title>
      <c:tx>
        <c:rich>
          <a:bodyPr rot="0" spcFirstLastPara="1" vertOverflow="ellipsis" vert="horz" wrap="square" anchor="ctr" anchorCtr="1"/>
          <a:lstStyle/>
          <a:p>
            <a:pPr>
              <a:defRPr sz="850" b="0" i="0" u="none" strike="noStrike" kern="1200" spc="0" baseline="0">
                <a:solidFill>
                  <a:srgbClr val="002060"/>
                </a:solidFill>
                <a:latin typeface="Aptos" panose="020B0004020202020204" pitchFamily="34" charset="0"/>
                <a:ea typeface="+mn-ea"/>
                <a:cs typeface="+mn-cs"/>
              </a:defRPr>
            </a:pPr>
            <a:r>
              <a:rPr lang="en-US" sz="850" b="1">
                <a:solidFill>
                  <a:srgbClr val="002060"/>
                </a:solidFill>
                <a:latin typeface="Aptos" panose="020B0004020202020204" pitchFamily="34" charset="0"/>
              </a:rPr>
              <a:t>RECRUITER</a:t>
            </a:r>
            <a:r>
              <a:rPr lang="en-US" sz="850" b="1" baseline="0">
                <a:solidFill>
                  <a:srgbClr val="002060"/>
                </a:solidFill>
                <a:latin typeface="Aptos" panose="020B0004020202020204" pitchFamily="34" charset="0"/>
              </a:rPr>
              <a:t> PERFORMANCE</a:t>
            </a:r>
            <a:endParaRPr lang="en-US" sz="85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850" b="0" i="0" u="none" strike="noStrike" kern="1200" spc="0" baseline="0">
              <a:solidFill>
                <a:srgbClr val="002060"/>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F72"/>
          </a:solidFill>
          <a:ln w="19050">
            <a:solidFill>
              <a:schemeClr val="lt1"/>
            </a:solidFill>
          </a:ln>
          <a:effectLst/>
        </c:spPr>
      </c:pivotFmt>
      <c:pivotFmt>
        <c:idx val="8"/>
        <c:spPr>
          <a:solidFill>
            <a:schemeClr val="tx1">
              <a:lumMod val="85000"/>
              <a:lumOff val="15000"/>
            </a:schemeClr>
          </a:solidFill>
          <a:ln w="19050">
            <a:solidFill>
              <a:schemeClr val="lt1"/>
            </a:solidFill>
          </a:ln>
          <a:effectLst/>
        </c:spPr>
      </c:pivotFmt>
      <c:pivotFmt>
        <c:idx val="9"/>
        <c:spPr>
          <a:solidFill>
            <a:srgbClr val="003F72"/>
          </a:solidFill>
          <a:ln w="19050">
            <a:solidFill>
              <a:schemeClr val="lt1"/>
            </a:solidFill>
          </a:ln>
          <a:effectLst/>
        </c:spPr>
      </c:pivotFmt>
      <c:pivotFmt>
        <c:idx val="10"/>
        <c:spPr>
          <a:solidFill>
            <a:schemeClr val="tx1">
              <a:lumMod val="85000"/>
              <a:lumOff val="15000"/>
            </a:schemeClr>
          </a:solidFill>
          <a:ln w="19050">
            <a:solidFill>
              <a:schemeClr val="lt1"/>
            </a:solidFill>
          </a:ln>
          <a:effectLst/>
        </c:spPr>
      </c:pivotFmt>
    </c:pivotFmts>
    <c:plotArea>
      <c:layout>
        <c:manualLayout>
          <c:layoutTarget val="inner"/>
          <c:xMode val="edge"/>
          <c:yMode val="edge"/>
          <c:x val="0.32470473743338374"/>
          <c:y val="0.29547105775751659"/>
          <c:w val="0.67529508609441713"/>
          <c:h val="0.73021678831580838"/>
        </c:manualLayout>
      </c:layout>
      <c:doughnutChart>
        <c:varyColors val="1"/>
        <c:ser>
          <c:idx val="0"/>
          <c:order val="0"/>
          <c:tx>
            <c:strRef>
              <c:f>'Cdt. Analysis'!$G$16</c:f>
              <c:strCache>
                <c:ptCount val="1"/>
                <c:pt idx="0">
                  <c:v>Total</c:v>
                </c:pt>
              </c:strCache>
            </c:strRef>
          </c:tx>
          <c:dPt>
            <c:idx val="0"/>
            <c:bubble3D val="0"/>
            <c:spPr>
              <a:solidFill>
                <a:srgbClr val="003F72"/>
              </a:solidFill>
              <a:ln w="19050">
                <a:solidFill>
                  <a:schemeClr val="lt1"/>
                </a:solidFill>
              </a:ln>
              <a:effectLst/>
            </c:spPr>
            <c:extLst>
              <c:ext xmlns:c16="http://schemas.microsoft.com/office/drawing/2014/chart" uri="{C3380CC4-5D6E-409C-BE32-E72D297353CC}">
                <c16:uniqueId val="{00000001-9F08-47A1-8485-CA2D51FEEDFB}"/>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9F08-47A1-8485-CA2D51FEEDFB}"/>
              </c:ext>
            </c:extLst>
          </c:dPt>
          <c:dPt>
            <c:idx val="2"/>
            <c:bubble3D val="0"/>
            <c:spPr>
              <a:solidFill>
                <a:srgbClr val="003F72"/>
              </a:solidFill>
              <a:ln w="19050">
                <a:solidFill>
                  <a:schemeClr val="lt1"/>
                </a:solidFill>
              </a:ln>
              <a:effectLst/>
            </c:spPr>
            <c:extLst>
              <c:ext xmlns:c16="http://schemas.microsoft.com/office/drawing/2014/chart" uri="{C3380CC4-5D6E-409C-BE32-E72D297353CC}">
                <c16:uniqueId val="{00000005-9F08-47A1-8485-CA2D51FEEDFB}"/>
              </c:ext>
            </c:extLst>
          </c:dPt>
          <c:dPt>
            <c:idx val="3"/>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7-9F08-47A1-8485-CA2D51FEED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'Cdt. Analysis'!$F$17:$F$21</c:f>
              <c:strCache>
                <c:ptCount val="4"/>
                <c:pt idx="0">
                  <c:v>Aman</c:v>
                </c:pt>
                <c:pt idx="1">
                  <c:v>Deepak</c:v>
                </c:pt>
                <c:pt idx="2">
                  <c:v>Riya</c:v>
                </c:pt>
                <c:pt idx="3">
                  <c:v>Sonal</c:v>
                </c:pt>
              </c:strCache>
            </c:strRef>
          </c:cat>
          <c:val>
            <c:numRef>
              <c:f>'Cdt. Analysis'!$G$17:$G$21</c:f>
              <c:numCache>
                <c:formatCode>General</c:formatCode>
                <c:ptCount val="4"/>
                <c:pt idx="0">
                  <c:v>58</c:v>
                </c:pt>
                <c:pt idx="1">
                  <c:v>52</c:v>
                </c:pt>
                <c:pt idx="2">
                  <c:v>39</c:v>
                </c:pt>
                <c:pt idx="3">
                  <c:v>51</c:v>
                </c:pt>
              </c:numCache>
            </c:numRef>
          </c:val>
          <c:extLst>
            <c:ext xmlns:c16="http://schemas.microsoft.com/office/drawing/2014/chart" uri="{C3380CC4-5D6E-409C-BE32-E72D297353CC}">
              <c16:uniqueId val="{00000008-9F08-47A1-8485-CA2D51FEEDF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Analysis!PivotTable8</c:name>
    <c:fmtId val="15"/>
  </c:pivotSource>
  <c:chart>
    <c:title>
      <c:tx>
        <c:rich>
          <a:bodyPr rot="0" spcFirstLastPara="1" vertOverflow="ellipsis" vert="horz" wrap="square" anchor="ctr" anchorCtr="1"/>
          <a:lstStyle/>
          <a:p>
            <a:pPr>
              <a:defRPr sz="900" b="1" i="0" u="none" strike="noStrike" kern="1200" spc="0" baseline="0">
                <a:solidFill>
                  <a:schemeClr val="tx2"/>
                </a:solidFill>
                <a:latin typeface="Aptos" panose="020B0004020202020204" pitchFamily="34" charset="0"/>
                <a:ea typeface="+mn-ea"/>
                <a:cs typeface="+mn-cs"/>
              </a:defRPr>
            </a:pPr>
            <a:r>
              <a:rPr lang="en-US" sz="900" b="1">
                <a:solidFill>
                  <a:schemeClr val="tx2"/>
                </a:solidFill>
                <a:latin typeface="Aptos" panose="020B0004020202020204" pitchFamily="34" charset="0"/>
              </a:rPr>
              <a:t>RECRUITMENT</a:t>
            </a:r>
            <a:r>
              <a:rPr lang="en-US" sz="900" b="1" baseline="0">
                <a:solidFill>
                  <a:schemeClr val="tx2"/>
                </a:solidFill>
                <a:latin typeface="Aptos" panose="020B0004020202020204" pitchFamily="34" charset="0"/>
              </a:rPr>
              <a:t> SOURCES</a:t>
            </a:r>
            <a:endParaRPr lang="en-US" sz="900" b="1">
              <a:solidFill>
                <a:schemeClr val="tx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3F72"/>
          </a:solidFill>
          <a:ln>
            <a:noFill/>
          </a:ln>
          <a:effectLst/>
        </c:spPr>
      </c:pivotFmt>
      <c:pivotFmt>
        <c:idx val="9"/>
        <c:spPr>
          <a:solidFill>
            <a:schemeClr val="tx1">
              <a:lumMod val="85000"/>
              <a:lumOff val="15000"/>
            </a:schemeClr>
          </a:solidFill>
          <a:ln>
            <a:noFill/>
          </a:ln>
          <a:effectLst/>
        </c:spPr>
      </c:pivotFmt>
      <c:pivotFmt>
        <c:idx val="10"/>
        <c:spPr>
          <a:solidFill>
            <a:srgbClr val="003F72"/>
          </a:solidFill>
          <a:ln>
            <a:noFill/>
          </a:ln>
          <a:effectLst/>
        </c:spPr>
      </c:pivotFmt>
      <c:pivotFmt>
        <c:idx val="11"/>
        <c:spPr>
          <a:solidFill>
            <a:srgbClr val="003F72"/>
          </a:solidFill>
          <a:ln>
            <a:noFill/>
          </a:ln>
          <a:effectLst/>
        </c:spPr>
      </c:pivotFmt>
      <c:pivotFmt>
        <c:idx val="12"/>
        <c:spPr>
          <a:solidFill>
            <a:schemeClr val="tx1">
              <a:lumMod val="85000"/>
              <a:lumOff val="15000"/>
            </a:schemeClr>
          </a:solidFill>
          <a:ln>
            <a:noFill/>
          </a:ln>
          <a:effectLst/>
        </c:spPr>
      </c:pivotFmt>
    </c:pivotFmts>
    <c:plotArea>
      <c:layout>
        <c:manualLayout>
          <c:layoutTarget val="inner"/>
          <c:xMode val="edge"/>
          <c:yMode val="edge"/>
          <c:x val="2.5711182042862553E-2"/>
          <c:y val="0.15079135930373214"/>
          <c:w val="0.47694913357312396"/>
          <c:h val="0.80018437058298453"/>
        </c:manualLayout>
      </c:layout>
      <c:pieChart>
        <c:varyColors val="1"/>
        <c:ser>
          <c:idx val="0"/>
          <c:order val="0"/>
          <c:tx>
            <c:strRef>
              <c:f>'Cdt. Analysis'!$M$4</c:f>
              <c:strCache>
                <c:ptCount val="1"/>
                <c:pt idx="0">
                  <c:v>Total</c:v>
                </c:pt>
              </c:strCache>
            </c:strRef>
          </c:tx>
          <c:dPt>
            <c:idx val="0"/>
            <c:bubble3D val="0"/>
            <c:spPr>
              <a:solidFill>
                <a:srgbClr val="003F72"/>
              </a:solidFill>
              <a:ln>
                <a:noFill/>
              </a:ln>
              <a:effectLst/>
            </c:spPr>
            <c:extLst>
              <c:ext xmlns:c16="http://schemas.microsoft.com/office/drawing/2014/chart" uri="{C3380CC4-5D6E-409C-BE32-E72D297353CC}">
                <c16:uniqueId val="{00000001-F1CE-4800-85E7-D0A889C9BD4F}"/>
              </c:ext>
            </c:extLst>
          </c:dPt>
          <c:dPt>
            <c:idx val="1"/>
            <c:bubble3D val="0"/>
            <c:spPr>
              <a:solidFill>
                <a:schemeClr val="tx1">
                  <a:lumMod val="85000"/>
                  <a:lumOff val="15000"/>
                </a:schemeClr>
              </a:solidFill>
              <a:ln>
                <a:noFill/>
              </a:ln>
              <a:effectLst/>
            </c:spPr>
            <c:extLst>
              <c:ext xmlns:c16="http://schemas.microsoft.com/office/drawing/2014/chart" uri="{C3380CC4-5D6E-409C-BE32-E72D297353CC}">
                <c16:uniqueId val="{00000003-F1CE-4800-85E7-D0A889C9BD4F}"/>
              </c:ext>
            </c:extLst>
          </c:dPt>
          <c:dPt>
            <c:idx val="2"/>
            <c:bubble3D val="0"/>
            <c:spPr>
              <a:solidFill>
                <a:srgbClr val="003F72"/>
              </a:solidFill>
              <a:ln>
                <a:noFill/>
              </a:ln>
              <a:effectLst/>
            </c:spPr>
            <c:extLst>
              <c:ext xmlns:c16="http://schemas.microsoft.com/office/drawing/2014/chart" uri="{C3380CC4-5D6E-409C-BE32-E72D297353CC}">
                <c16:uniqueId val="{00000005-F1CE-4800-85E7-D0A889C9BD4F}"/>
              </c:ext>
            </c:extLst>
          </c:dPt>
          <c:dPt>
            <c:idx val="3"/>
            <c:bubble3D val="0"/>
            <c:spPr>
              <a:solidFill>
                <a:srgbClr val="003F72"/>
              </a:solidFill>
              <a:ln>
                <a:noFill/>
              </a:ln>
              <a:effectLst/>
            </c:spPr>
            <c:extLst>
              <c:ext xmlns:c16="http://schemas.microsoft.com/office/drawing/2014/chart" uri="{C3380CC4-5D6E-409C-BE32-E72D297353CC}">
                <c16:uniqueId val="{00000007-F1CE-4800-85E7-D0A889C9BD4F}"/>
              </c:ext>
            </c:extLst>
          </c:dPt>
          <c:dPt>
            <c:idx val="4"/>
            <c:bubble3D val="0"/>
            <c:spPr>
              <a:solidFill>
                <a:schemeClr val="tx1">
                  <a:lumMod val="85000"/>
                  <a:lumOff val="15000"/>
                </a:schemeClr>
              </a:solidFill>
              <a:ln>
                <a:noFill/>
              </a:ln>
              <a:effectLst/>
            </c:spPr>
            <c:extLst>
              <c:ext xmlns:c16="http://schemas.microsoft.com/office/drawing/2014/chart" uri="{C3380CC4-5D6E-409C-BE32-E72D297353CC}">
                <c16:uniqueId val="{00000009-F1CE-4800-85E7-D0A889C9BD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'Cdt. Analysis'!$L$5:$L$10</c:f>
              <c:strCache>
                <c:ptCount val="5"/>
                <c:pt idx="0">
                  <c:v>Campus</c:v>
                </c:pt>
                <c:pt idx="1">
                  <c:v>Indeed</c:v>
                </c:pt>
                <c:pt idx="2">
                  <c:v>LinkedIn</c:v>
                </c:pt>
                <c:pt idx="3">
                  <c:v>Naukri</c:v>
                </c:pt>
                <c:pt idx="4">
                  <c:v>Referral</c:v>
                </c:pt>
              </c:strCache>
            </c:strRef>
          </c:cat>
          <c:val>
            <c:numRef>
              <c:f>'Cdt. Analysis'!$M$5:$M$10</c:f>
              <c:numCache>
                <c:formatCode>General</c:formatCode>
                <c:ptCount val="5"/>
                <c:pt idx="0">
                  <c:v>46</c:v>
                </c:pt>
                <c:pt idx="1">
                  <c:v>35</c:v>
                </c:pt>
                <c:pt idx="2">
                  <c:v>43</c:v>
                </c:pt>
                <c:pt idx="3">
                  <c:v>38</c:v>
                </c:pt>
                <c:pt idx="4">
                  <c:v>38</c:v>
                </c:pt>
              </c:numCache>
            </c:numRef>
          </c:val>
          <c:extLst>
            <c:ext xmlns:c16="http://schemas.microsoft.com/office/drawing/2014/chart" uri="{C3380CC4-5D6E-409C-BE32-E72D297353CC}">
              <c16:uniqueId val="{0000000A-F1CE-4800-85E7-D0A889C9BD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331727479973466"/>
          <c:y val="0.23925668650018592"/>
          <c:w val="0.31329556464143615"/>
          <c:h val="0.690206468633412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j-lt"/>
              <a:ea typeface="+mn-ea"/>
              <a:cs typeface="Aldhabi" panose="01000000000000000000" pitchFamily="2" charset="-78"/>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Analysis!PivotTable6</c:name>
    <c:fmtId val="27"/>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Aptos" panose="020B0004020202020204" pitchFamily="34" charset="0"/>
                <a:ea typeface="+mn-ea"/>
                <a:cs typeface="+mn-cs"/>
              </a:defRPr>
            </a:pPr>
            <a:r>
              <a:rPr lang="en-US" sz="900" b="1">
                <a:solidFill>
                  <a:schemeClr val="tx2"/>
                </a:solidFill>
                <a:latin typeface="Aptos" panose="020B0004020202020204" pitchFamily="34" charset="0"/>
              </a:rPr>
              <a:t>GENDER</a:t>
            </a:r>
            <a:r>
              <a:rPr lang="en-US" sz="900" b="1" baseline="0">
                <a:solidFill>
                  <a:schemeClr val="tx2"/>
                </a:solidFill>
                <a:latin typeface="Aptos" panose="020B0004020202020204" pitchFamily="34" charset="0"/>
              </a:rPr>
              <a:t> WISE COUNT</a:t>
            </a:r>
            <a:endParaRPr lang="en-US" sz="900" b="1">
              <a:solidFill>
                <a:schemeClr val="tx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rgbClr val="003F72"/>
          </a:solidFill>
          <a:ln>
            <a:noFill/>
          </a:ln>
          <a:effectLst/>
        </c:spPr>
      </c:pivotFmt>
    </c:pivotFmts>
    <c:plotArea>
      <c:layout/>
      <c:barChart>
        <c:barDir val="col"/>
        <c:grouping val="clustered"/>
        <c:varyColors val="0"/>
        <c:ser>
          <c:idx val="0"/>
          <c:order val="0"/>
          <c:tx>
            <c:strRef>
              <c:f>'Cdt. Analysis'!$L$19</c:f>
              <c:strCache>
                <c:ptCount val="1"/>
                <c:pt idx="0">
                  <c:v>Total</c:v>
                </c:pt>
              </c:strCache>
            </c:strRef>
          </c:tx>
          <c:spPr>
            <a:solidFill>
              <a:schemeClr val="accent1"/>
            </a:solidFill>
            <a:ln>
              <a:noFill/>
            </a:ln>
            <a:effectLst/>
          </c:spPr>
          <c:invertIfNegative val="0"/>
          <c:dPt>
            <c:idx val="0"/>
            <c:invertIfNegative val="0"/>
            <c:bubble3D val="0"/>
            <c:spPr>
              <a:solidFill>
                <a:srgbClr val="003F72"/>
              </a:solidFill>
              <a:ln>
                <a:noFill/>
              </a:ln>
              <a:effectLst/>
            </c:spPr>
            <c:extLst>
              <c:ext xmlns:c16="http://schemas.microsoft.com/office/drawing/2014/chart" uri="{C3380CC4-5D6E-409C-BE32-E72D297353CC}">
                <c16:uniqueId val="{00000002-A283-42C5-BBCF-4CD0663A7429}"/>
              </c:ext>
            </c:extLst>
          </c:dPt>
          <c:dPt>
            <c:idx val="1"/>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DFC7-4AD1-AFC4-E77879D285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'Cdt. Analysis'!$K$20:$K$22</c:f>
              <c:strCache>
                <c:ptCount val="2"/>
                <c:pt idx="0">
                  <c:v>Female</c:v>
                </c:pt>
                <c:pt idx="1">
                  <c:v>Male</c:v>
                </c:pt>
              </c:strCache>
            </c:strRef>
          </c:cat>
          <c:val>
            <c:numRef>
              <c:f>'Cdt. Analysis'!$L$20:$L$22</c:f>
              <c:numCache>
                <c:formatCode>General</c:formatCode>
                <c:ptCount val="2"/>
                <c:pt idx="0">
                  <c:v>99</c:v>
                </c:pt>
                <c:pt idx="1">
                  <c:v>101</c:v>
                </c:pt>
              </c:numCache>
            </c:numRef>
          </c:val>
          <c:extLst>
            <c:ext xmlns:c16="http://schemas.microsoft.com/office/drawing/2014/chart" uri="{C3380CC4-5D6E-409C-BE32-E72D297353CC}">
              <c16:uniqueId val="{00000000-DFC7-4AD1-AFC4-E77879D2854B}"/>
            </c:ext>
          </c:extLst>
        </c:ser>
        <c:dLbls>
          <c:showLegendKey val="0"/>
          <c:showVal val="0"/>
          <c:showCatName val="0"/>
          <c:showSerName val="0"/>
          <c:showPercent val="0"/>
          <c:showBubbleSize val="0"/>
        </c:dLbls>
        <c:gapWidth val="53"/>
        <c:overlap val="-27"/>
        <c:axId val="530501856"/>
        <c:axId val="1933324224"/>
      </c:barChart>
      <c:catAx>
        <c:axId val="5305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933324224"/>
        <c:crosses val="autoZero"/>
        <c:auto val="1"/>
        <c:lblAlgn val="ctr"/>
        <c:lblOffset val="100"/>
        <c:noMultiLvlLbl val="0"/>
      </c:catAx>
      <c:valAx>
        <c:axId val="193332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305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[L&amp;T_DashBoard_1_HR_Recruitment.xlsx]Cdt. Analysis!PivotTable9</c:name>
    <c:fmtId val="3"/>
  </c:pivotSource>
  <c:chart>
    <c:title>
      <c:tx>
        <c:rich>
          <a:bodyPr rot="0" spcFirstLastPara="1" vertOverflow="ellipsis" vert="horz" wrap="square" anchor="ctr" anchorCtr="1"/>
          <a:lstStyle/>
          <a:p>
            <a:pPr>
              <a:defRPr sz="900" b="1" i="0" u="none" strike="noStrike" kern="1200" spc="0" baseline="0">
                <a:solidFill>
                  <a:schemeClr val="accent1">
                    <a:lumMod val="50000"/>
                  </a:schemeClr>
                </a:solidFill>
                <a:latin typeface="Aptos" panose="020B0004020202020204" pitchFamily="34" charset="0"/>
                <a:ea typeface="+mn-ea"/>
                <a:cs typeface="+mn-cs"/>
              </a:defRPr>
            </a:pPr>
            <a:r>
              <a:rPr lang="en-US" sz="900" b="1">
                <a:solidFill>
                  <a:schemeClr val="accent1">
                    <a:lumMod val="50000"/>
                  </a:schemeClr>
                </a:solidFill>
                <a:latin typeface="Aptos" panose="020B0004020202020204" pitchFamily="34" charset="0"/>
              </a:rPr>
              <a:t>CITY</a:t>
            </a:r>
            <a:r>
              <a:rPr lang="en-US" sz="900" b="1" baseline="0">
                <a:solidFill>
                  <a:schemeClr val="accent1">
                    <a:lumMod val="50000"/>
                  </a:schemeClr>
                </a:solidFill>
                <a:latin typeface="Aptos" panose="020B0004020202020204" pitchFamily="34" charset="0"/>
              </a:rPr>
              <a:t> WISE COUNT</a:t>
            </a:r>
            <a:endParaRPr lang="en-US" sz="900" b="1">
              <a:solidFill>
                <a:schemeClr val="accent1">
                  <a:lumMod val="50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accent1">
                  <a:lumMod val="50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rgbClr val="003F72"/>
          </a:solidFill>
          <a:ln>
            <a:noFill/>
          </a:ln>
          <a:effectLst/>
        </c:spPr>
      </c:pivotFmt>
      <c:pivotFmt>
        <c:idx val="5"/>
        <c:spPr>
          <a:solidFill>
            <a:srgbClr val="003F72"/>
          </a:solidFill>
          <a:ln>
            <a:noFill/>
          </a:ln>
          <a:effectLst/>
        </c:spPr>
      </c:pivotFmt>
    </c:pivotFmts>
    <c:plotArea>
      <c:layout/>
      <c:barChart>
        <c:barDir val="bar"/>
        <c:grouping val="stacked"/>
        <c:varyColors val="0"/>
        <c:ser>
          <c:idx val="0"/>
          <c:order val="0"/>
          <c:tx>
            <c:strRef>
              <c:f>'Cdt. Analysis'!$C$24</c:f>
              <c:strCache>
                <c:ptCount val="1"/>
                <c:pt idx="0">
                  <c:v>Total</c:v>
                </c:pt>
              </c:strCache>
            </c:strRef>
          </c:tx>
          <c:spPr>
            <a:solidFill>
              <a:schemeClr val="accent1"/>
            </a:solidFill>
            <a:ln>
              <a:noFill/>
            </a:ln>
            <a:effectLst/>
          </c:spPr>
          <c:invertIfNegative val="0"/>
          <c:dPt>
            <c:idx val="0"/>
            <c:invertIfNegative val="0"/>
            <c:bubble3D val="0"/>
            <c:spPr>
              <a:solidFill>
                <a:srgbClr val="003F72"/>
              </a:solidFill>
              <a:ln>
                <a:noFill/>
              </a:ln>
              <a:effectLst/>
            </c:spPr>
            <c:extLst>
              <c:ext xmlns:c16="http://schemas.microsoft.com/office/drawing/2014/chart" uri="{C3380CC4-5D6E-409C-BE32-E72D297353CC}">
                <c16:uniqueId val="{00000002-264C-4B25-9345-D03F32333AE5}"/>
              </c:ext>
            </c:extLst>
          </c:dPt>
          <c:dPt>
            <c:idx val="1"/>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FB46-43FE-BE70-5B9749EA6FDF}"/>
              </c:ext>
            </c:extLst>
          </c:dPt>
          <c:dPt>
            <c:idx val="2"/>
            <c:invertIfNegative val="0"/>
            <c:bubble3D val="0"/>
            <c:spPr>
              <a:solidFill>
                <a:srgbClr val="003F72"/>
              </a:solidFill>
              <a:ln>
                <a:noFill/>
              </a:ln>
              <a:effectLst/>
            </c:spPr>
            <c:extLst>
              <c:ext xmlns:c16="http://schemas.microsoft.com/office/drawing/2014/chart" uri="{C3380CC4-5D6E-409C-BE32-E72D297353CC}">
                <c16:uniqueId val="{00000003-264C-4B25-9345-D03F32333AE5}"/>
              </c:ext>
            </c:extLst>
          </c:dPt>
          <c:cat>
            <c:strRef>
              <c:f>'Cdt. Analysis'!$B$25:$B$28</c:f>
              <c:strCache>
                <c:ptCount val="3"/>
                <c:pt idx="0">
                  <c:v>Delhi</c:v>
                </c:pt>
                <c:pt idx="1">
                  <c:v>Gurgaon</c:v>
                </c:pt>
                <c:pt idx="2">
                  <c:v>Noida</c:v>
                </c:pt>
              </c:strCache>
            </c:strRef>
          </c:cat>
          <c:val>
            <c:numRef>
              <c:f>'Cdt. Analysis'!$C$25:$C$28</c:f>
              <c:numCache>
                <c:formatCode>General</c:formatCode>
                <c:ptCount val="3"/>
                <c:pt idx="0">
                  <c:v>67</c:v>
                </c:pt>
                <c:pt idx="1">
                  <c:v>63</c:v>
                </c:pt>
                <c:pt idx="2">
                  <c:v>70</c:v>
                </c:pt>
              </c:numCache>
            </c:numRef>
          </c:val>
          <c:extLst>
            <c:ext xmlns:c16="http://schemas.microsoft.com/office/drawing/2014/chart" uri="{C3380CC4-5D6E-409C-BE32-E72D297353CC}">
              <c16:uniqueId val="{00000000-FB46-43FE-BE70-5B9749EA6FDF}"/>
            </c:ext>
          </c:extLst>
        </c:ser>
        <c:dLbls>
          <c:showLegendKey val="0"/>
          <c:showVal val="0"/>
          <c:showCatName val="0"/>
          <c:showSerName val="0"/>
          <c:showPercent val="0"/>
          <c:showBubbleSize val="0"/>
        </c:dLbls>
        <c:gapWidth val="150"/>
        <c:overlap val="100"/>
        <c:axId val="1826617760"/>
        <c:axId val="1933355424"/>
      </c:barChart>
      <c:catAx>
        <c:axId val="182661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933355424"/>
        <c:crosses val="autoZero"/>
        <c:auto val="1"/>
        <c:lblAlgn val="ctr"/>
        <c:lblOffset val="100"/>
        <c:noMultiLvlLbl val="0"/>
      </c:catAx>
      <c:valAx>
        <c:axId val="193335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2661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151280</xdr:colOff>
      <xdr:row>0</xdr:row>
      <xdr:rowOff>89647</xdr:rowOff>
    </xdr:from>
    <xdr:to>
      <xdr:col>8</xdr:col>
      <xdr:colOff>4392706</xdr:colOff>
      <xdr:row>11</xdr:row>
      <xdr:rowOff>134470</xdr:rowOff>
    </xdr:to>
    <xdr:graphicFrame macro="">
      <xdr:nvGraphicFramePr>
        <xdr:cNvPr id="3" name="Chart 2">
          <a:extLst>
            <a:ext uri="{FF2B5EF4-FFF2-40B4-BE49-F238E27FC236}">
              <a16:creationId xmlns:a16="http://schemas.microsoft.com/office/drawing/2014/main" id="{25DA0E68-6465-3DBC-2068-60F660F28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72838</xdr:colOff>
      <xdr:row>11</xdr:row>
      <xdr:rowOff>1120</xdr:rowOff>
    </xdr:from>
    <xdr:to>
      <xdr:col>3</xdr:col>
      <xdr:colOff>2521323</xdr:colOff>
      <xdr:row>19</xdr:row>
      <xdr:rowOff>179294</xdr:rowOff>
    </xdr:to>
    <xdr:graphicFrame macro="">
      <xdr:nvGraphicFramePr>
        <xdr:cNvPr id="4" name="Chart 3">
          <a:extLst>
            <a:ext uri="{FF2B5EF4-FFF2-40B4-BE49-F238E27FC236}">
              <a16:creationId xmlns:a16="http://schemas.microsoft.com/office/drawing/2014/main" id="{780FD570-337C-9AAA-6CE4-43AEEEE19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61632</xdr:colOff>
      <xdr:row>13</xdr:row>
      <xdr:rowOff>56029</xdr:rowOff>
    </xdr:from>
    <xdr:to>
      <xdr:col>7</xdr:col>
      <xdr:colOff>2723029</xdr:colOff>
      <xdr:row>22</xdr:row>
      <xdr:rowOff>112058</xdr:rowOff>
    </xdr:to>
    <xdr:graphicFrame macro="">
      <xdr:nvGraphicFramePr>
        <xdr:cNvPr id="5" name="Chart 4">
          <a:extLst>
            <a:ext uri="{FF2B5EF4-FFF2-40B4-BE49-F238E27FC236}">
              <a16:creationId xmlns:a16="http://schemas.microsoft.com/office/drawing/2014/main" id="{F74C63D1-D294-5550-5BD4-525450A0E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141609</xdr:colOff>
      <xdr:row>1</xdr:row>
      <xdr:rowOff>111938</xdr:rowOff>
    </xdr:from>
    <xdr:to>
      <xdr:col>13</xdr:col>
      <xdr:colOff>2444468</xdr:colOff>
      <xdr:row>10</xdr:row>
      <xdr:rowOff>42146</xdr:rowOff>
    </xdr:to>
    <xdr:graphicFrame macro="">
      <xdr:nvGraphicFramePr>
        <xdr:cNvPr id="9" name="Chart 8">
          <a:extLst>
            <a:ext uri="{FF2B5EF4-FFF2-40B4-BE49-F238E27FC236}">
              <a16:creationId xmlns:a16="http://schemas.microsoft.com/office/drawing/2014/main" id="{9D9E5225-7591-510F-200D-359A4371D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181840</xdr:colOff>
      <xdr:row>12</xdr:row>
      <xdr:rowOff>103909</xdr:rowOff>
    </xdr:from>
    <xdr:to>
      <xdr:col>13</xdr:col>
      <xdr:colOff>2632363</xdr:colOff>
      <xdr:row>23</xdr:row>
      <xdr:rowOff>103909</xdr:rowOff>
    </xdr:to>
    <xdr:graphicFrame macro="">
      <xdr:nvGraphicFramePr>
        <xdr:cNvPr id="11" name="Chart 10">
          <a:extLst>
            <a:ext uri="{FF2B5EF4-FFF2-40B4-BE49-F238E27FC236}">
              <a16:creationId xmlns:a16="http://schemas.microsoft.com/office/drawing/2014/main" id="{2D256964-A2B9-404C-7A14-0A33B2C25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147205</xdr:colOff>
      <xdr:row>21</xdr:row>
      <xdr:rowOff>117763</xdr:rowOff>
    </xdr:from>
    <xdr:to>
      <xdr:col>3</xdr:col>
      <xdr:colOff>2459183</xdr:colOff>
      <xdr:row>28</xdr:row>
      <xdr:rowOff>17318</xdr:rowOff>
    </xdr:to>
    <xdr:graphicFrame macro="">
      <xdr:nvGraphicFramePr>
        <xdr:cNvPr id="12" name="Chart 11">
          <a:extLst>
            <a:ext uri="{FF2B5EF4-FFF2-40B4-BE49-F238E27FC236}">
              <a16:creationId xmlns:a16="http://schemas.microsoft.com/office/drawing/2014/main" id="{12001889-1B1B-517F-34FF-C709A044C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309130</xdr:colOff>
      <xdr:row>0</xdr:row>
      <xdr:rowOff>177511</xdr:rowOff>
    </xdr:from>
    <xdr:to>
      <xdr:col>3</xdr:col>
      <xdr:colOff>2137930</xdr:colOff>
      <xdr:row>9</xdr:row>
      <xdr:rowOff>34636</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EDFE762B-B4B5-0569-1E9C-2192BE3AA09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253221" y="177511"/>
              <a:ext cx="1828800" cy="1606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170584</xdr:colOff>
      <xdr:row>13</xdr:row>
      <xdr:rowOff>21648</xdr:rowOff>
    </xdr:from>
    <xdr:to>
      <xdr:col>8</xdr:col>
      <xdr:colOff>1999384</xdr:colOff>
      <xdr:row>21</xdr:row>
      <xdr:rowOff>86592</xdr:rowOff>
    </xdr:to>
    <mc:AlternateContent xmlns:mc="http://schemas.openxmlformats.org/markup-compatibility/2006" xmlns:a14="http://schemas.microsoft.com/office/drawing/2010/main">
      <mc:Choice Requires="a14">
        <xdr:graphicFrame macro="">
          <xdr:nvGraphicFramePr>
            <xdr:cNvPr id="6" name="Status 1">
              <a:extLst>
                <a:ext uri="{FF2B5EF4-FFF2-40B4-BE49-F238E27FC236}">
                  <a16:creationId xmlns:a16="http://schemas.microsoft.com/office/drawing/2014/main" id="{4143CB5E-9C3C-A80A-8401-52AA59583279}"/>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695584" y="2550103"/>
              <a:ext cx="1828800" cy="162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2252230</xdr:colOff>
      <xdr:row>13</xdr:row>
      <xdr:rowOff>21648</xdr:rowOff>
    </xdr:from>
    <xdr:to>
      <xdr:col>8</xdr:col>
      <xdr:colOff>4081030</xdr:colOff>
      <xdr:row>21</xdr:row>
      <xdr:rowOff>86592</xdr:rowOff>
    </xdr:to>
    <mc:AlternateContent xmlns:mc="http://schemas.openxmlformats.org/markup-compatibility/2006" xmlns:a14="http://schemas.microsoft.com/office/drawing/2010/main">
      <mc:Choice Requires="a14">
        <xdr:graphicFrame macro="">
          <xdr:nvGraphicFramePr>
            <xdr:cNvPr id="7" name="Source">
              <a:extLst>
                <a:ext uri="{FF2B5EF4-FFF2-40B4-BE49-F238E27FC236}">
                  <a16:creationId xmlns:a16="http://schemas.microsoft.com/office/drawing/2014/main" id="{B738E2C2-3BBD-8657-AFF8-D4CB571EC2C4}"/>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1777230" y="2550103"/>
              <a:ext cx="1828800" cy="162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136071</xdr:colOff>
      <xdr:row>1</xdr:row>
      <xdr:rowOff>44302</xdr:rowOff>
    </xdr:from>
    <xdr:to>
      <xdr:col>16</xdr:col>
      <xdr:colOff>340659</xdr:colOff>
      <xdr:row>28</xdr:row>
      <xdr:rowOff>121831</xdr:rowOff>
    </xdr:to>
    <xdr:sp macro="" textlink="">
      <xdr:nvSpPr>
        <xdr:cNvPr id="3" name="Rectangle 2">
          <a:extLst>
            <a:ext uri="{FF2B5EF4-FFF2-40B4-BE49-F238E27FC236}">
              <a16:creationId xmlns:a16="http://schemas.microsoft.com/office/drawing/2014/main" id="{0575E3AE-7585-0D78-3238-C551592EDB97}"/>
            </a:ext>
          </a:extLst>
        </xdr:cNvPr>
        <xdr:cNvSpPr/>
      </xdr:nvSpPr>
      <xdr:spPr>
        <a:xfrm>
          <a:off x="136071" y="223596"/>
          <a:ext cx="9994047" cy="4918470"/>
        </a:xfrm>
        <a:prstGeom prst="rect">
          <a:avLst/>
        </a:prstGeom>
        <a:solidFill>
          <a:schemeClr val="bg1"/>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312965</xdr:colOff>
      <xdr:row>5</xdr:row>
      <xdr:rowOff>163286</xdr:rowOff>
    </xdr:from>
    <xdr:to>
      <xdr:col>3</xdr:col>
      <xdr:colOff>318660</xdr:colOff>
      <xdr:row>14</xdr:row>
      <xdr:rowOff>176897</xdr:rowOff>
    </xdr:to>
    <xdr:cxnSp macro="">
      <xdr:nvCxnSpPr>
        <xdr:cNvPr id="5" name="Straight Connector 4">
          <a:extLst>
            <a:ext uri="{FF2B5EF4-FFF2-40B4-BE49-F238E27FC236}">
              <a16:creationId xmlns:a16="http://schemas.microsoft.com/office/drawing/2014/main" id="{97D7A607-BC06-902B-556A-A6DABB4A0DFD}"/>
            </a:ext>
          </a:extLst>
        </xdr:cNvPr>
        <xdr:cNvCxnSpPr/>
      </xdr:nvCxnSpPr>
      <xdr:spPr>
        <a:xfrm>
          <a:off x="2149929" y="1115786"/>
          <a:ext cx="5695" cy="1728111"/>
        </a:xfrm>
        <a:prstGeom prst="line">
          <a:avLst/>
        </a:prstGeom>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xdr:col>
      <xdr:colOff>539236</xdr:colOff>
      <xdr:row>1</xdr:row>
      <xdr:rowOff>77529</xdr:rowOff>
    </xdr:from>
    <xdr:to>
      <xdr:col>11</xdr:col>
      <xdr:colOff>81647</xdr:colOff>
      <xdr:row>2</xdr:row>
      <xdr:rowOff>54429</xdr:rowOff>
    </xdr:to>
    <xdr:sp macro="" textlink="">
      <xdr:nvSpPr>
        <xdr:cNvPr id="7" name="TextBox 6">
          <a:extLst>
            <a:ext uri="{FF2B5EF4-FFF2-40B4-BE49-F238E27FC236}">
              <a16:creationId xmlns:a16="http://schemas.microsoft.com/office/drawing/2014/main" id="{7FE2104C-9D0E-A64D-BBF3-FC0ECFCF4737}"/>
            </a:ext>
          </a:extLst>
        </xdr:cNvPr>
        <xdr:cNvSpPr txBox="1"/>
      </xdr:nvSpPr>
      <xdr:spPr>
        <a:xfrm>
          <a:off x="4213165" y="268029"/>
          <a:ext cx="2604018" cy="16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rgbClr val="003F72"/>
              </a:solidFill>
              <a:latin typeface="Aptos" panose="020B0004020202020204" pitchFamily="34" charset="0"/>
              <a:ea typeface="+mn-ea"/>
              <a:cs typeface="+mn-cs"/>
            </a:rPr>
            <a:t>RECRUITMENT DASHBOARD</a:t>
          </a:r>
        </a:p>
      </xdr:txBody>
    </xdr:sp>
    <xdr:clientData/>
  </xdr:twoCellAnchor>
  <xdr:twoCellAnchor>
    <xdr:from>
      <xdr:col>3</xdr:col>
      <xdr:colOff>387423</xdr:colOff>
      <xdr:row>4</xdr:row>
      <xdr:rowOff>110756</xdr:rowOff>
    </xdr:from>
    <xdr:to>
      <xdr:col>9</xdr:col>
      <xdr:colOff>292173</xdr:colOff>
      <xdr:row>14</xdr:row>
      <xdr:rowOff>177212</xdr:rowOff>
    </xdr:to>
    <xdr:graphicFrame macro="">
      <xdr:nvGraphicFramePr>
        <xdr:cNvPr id="13" name="Chart 12">
          <a:extLst>
            <a:ext uri="{FF2B5EF4-FFF2-40B4-BE49-F238E27FC236}">
              <a16:creationId xmlns:a16="http://schemas.microsoft.com/office/drawing/2014/main" id="{7F8004D6-D7C7-4CE0-8FCB-0372250F2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332267</xdr:colOff>
      <xdr:row>14</xdr:row>
      <xdr:rowOff>155059</xdr:rowOff>
    </xdr:from>
    <xdr:to>
      <xdr:col>3</xdr:col>
      <xdr:colOff>332267</xdr:colOff>
      <xdr:row>28</xdr:row>
      <xdr:rowOff>55378</xdr:rowOff>
    </xdr:to>
    <xdr:cxnSp macro="">
      <xdr:nvCxnSpPr>
        <xdr:cNvPr id="15" name="Straight Connector 14">
          <a:extLst>
            <a:ext uri="{FF2B5EF4-FFF2-40B4-BE49-F238E27FC236}">
              <a16:creationId xmlns:a16="http://schemas.microsoft.com/office/drawing/2014/main" id="{BE625929-152F-4A15-801C-78366071B58D}"/>
            </a:ext>
          </a:extLst>
        </xdr:cNvPr>
        <xdr:cNvCxnSpPr/>
      </xdr:nvCxnSpPr>
      <xdr:spPr>
        <a:xfrm>
          <a:off x="2159738" y="2791047"/>
          <a:ext cx="0" cy="2536308"/>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319198</xdr:colOff>
      <xdr:row>4</xdr:row>
      <xdr:rowOff>110755</xdr:rowOff>
    </xdr:from>
    <xdr:to>
      <xdr:col>13</xdr:col>
      <xdr:colOff>157272</xdr:colOff>
      <xdr:row>14</xdr:row>
      <xdr:rowOff>177210</xdr:rowOff>
    </xdr:to>
    <xdr:graphicFrame macro="">
      <xdr:nvGraphicFramePr>
        <xdr:cNvPr id="17" name="Chart 16">
          <a:extLst>
            <a:ext uri="{FF2B5EF4-FFF2-40B4-BE49-F238E27FC236}">
              <a16:creationId xmlns:a16="http://schemas.microsoft.com/office/drawing/2014/main" id="{03AB6AC4-0CE6-4E39-9B5C-2D6052459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195370</xdr:colOff>
      <xdr:row>4</xdr:row>
      <xdr:rowOff>110755</xdr:rowOff>
    </xdr:from>
    <xdr:to>
      <xdr:col>16</xdr:col>
      <xdr:colOff>276888</xdr:colOff>
      <xdr:row>15</xdr:row>
      <xdr:rowOff>1</xdr:rowOff>
    </xdr:to>
    <xdr:graphicFrame macro="">
      <xdr:nvGraphicFramePr>
        <xdr:cNvPr id="18" name="Chart 17">
          <a:extLst>
            <a:ext uri="{FF2B5EF4-FFF2-40B4-BE49-F238E27FC236}">
              <a16:creationId xmlns:a16="http://schemas.microsoft.com/office/drawing/2014/main" id="{D06D7B46-9BC5-4B0F-B629-1472CEC44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419978</xdr:colOff>
      <xdr:row>15</xdr:row>
      <xdr:rowOff>33227</xdr:rowOff>
    </xdr:from>
    <xdr:to>
      <xdr:col>8</xdr:col>
      <xdr:colOff>1</xdr:colOff>
      <xdr:row>28</xdr:row>
      <xdr:rowOff>55381</xdr:rowOff>
    </xdr:to>
    <xdr:graphicFrame macro="">
      <xdr:nvGraphicFramePr>
        <xdr:cNvPr id="28" name="Chart 27">
          <a:extLst>
            <a:ext uri="{FF2B5EF4-FFF2-40B4-BE49-F238E27FC236}">
              <a16:creationId xmlns:a16="http://schemas.microsoft.com/office/drawing/2014/main" id="{0FA46158-1E93-4036-9C47-EB1EBF477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44303</xdr:colOff>
      <xdr:row>15</xdr:row>
      <xdr:rowOff>22151</xdr:rowOff>
    </xdr:from>
    <xdr:to>
      <xdr:col>11</xdr:col>
      <xdr:colOff>553780</xdr:colOff>
      <xdr:row>28</xdr:row>
      <xdr:rowOff>55385</xdr:rowOff>
    </xdr:to>
    <xdr:graphicFrame macro="">
      <xdr:nvGraphicFramePr>
        <xdr:cNvPr id="36" name="Chart 35">
          <a:extLst>
            <a:ext uri="{FF2B5EF4-FFF2-40B4-BE49-F238E27FC236}">
              <a16:creationId xmlns:a16="http://schemas.microsoft.com/office/drawing/2014/main" id="{2FF83412-0379-4D6B-9B83-95C422034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15</xdr:row>
      <xdr:rowOff>33227</xdr:rowOff>
    </xdr:from>
    <xdr:to>
      <xdr:col>16</xdr:col>
      <xdr:colOff>265815</xdr:colOff>
      <xdr:row>28</xdr:row>
      <xdr:rowOff>55383</xdr:rowOff>
    </xdr:to>
    <xdr:graphicFrame macro="">
      <xdr:nvGraphicFramePr>
        <xdr:cNvPr id="37" name="Chart 36">
          <a:extLst>
            <a:ext uri="{FF2B5EF4-FFF2-40B4-BE49-F238E27FC236}">
              <a16:creationId xmlns:a16="http://schemas.microsoft.com/office/drawing/2014/main" id="{149E0F81-D69A-415E-ACA7-ECB7DA4E2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243663</xdr:colOff>
      <xdr:row>4</xdr:row>
      <xdr:rowOff>149679</xdr:rowOff>
    </xdr:from>
    <xdr:to>
      <xdr:col>3</xdr:col>
      <xdr:colOff>254739</xdr:colOff>
      <xdr:row>13</xdr:row>
      <xdr:rowOff>17929</xdr:rowOff>
    </xdr:to>
    <mc:AlternateContent xmlns:mc="http://schemas.openxmlformats.org/markup-compatibility/2006" xmlns:a14="http://schemas.microsoft.com/office/drawing/2010/main">
      <mc:Choice Requires="a14">
        <xdr:graphicFrame macro="">
          <xdr:nvGraphicFramePr>
            <xdr:cNvPr id="2" name="DEPARTMENTS">
              <a:extLst>
                <a:ext uri="{FF2B5EF4-FFF2-40B4-BE49-F238E27FC236}">
                  <a16:creationId xmlns:a16="http://schemas.microsoft.com/office/drawing/2014/main" id="{A7473749-A523-47C3-B94E-A1D1E1803B2E}"/>
                </a:ext>
              </a:extLst>
            </xdr:cNvPr>
            <xdr:cNvGraphicFramePr/>
          </xdr:nvGraphicFramePr>
          <xdr:xfrm>
            <a:off x="0" y="0"/>
            <a:ext cx="0" cy="0"/>
          </xdr:xfrm>
          <a:graphic>
            <a:graphicData uri="http://schemas.microsoft.com/office/drawing/2010/slicer">
              <sle:slicer xmlns:sle="http://schemas.microsoft.com/office/drawing/2010/slicer" name="DEPARTMENTS"/>
            </a:graphicData>
          </a:graphic>
        </xdr:graphicFrame>
      </mc:Choice>
      <mc:Fallback xmlns="">
        <xdr:sp macro="" textlink="">
          <xdr:nvSpPr>
            <xdr:cNvPr id="0" name=""/>
            <xdr:cNvSpPr>
              <a:spLocks noTextEdit="1"/>
            </xdr:cNvSpPr>
          </xdr:nvSpPr>
          <xdr:spPr>
            <a:xfrm>
              <a:off x="243663" y="1165148"/>
              <a:ext cx="1848040" cy="124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244928</xdr:colOff>
      <xdr:row>13</xdr:row>
      <xdr:rowOff>4768</xdr:rowOff>
    </xdr:from>
    <xdr:to>
      <xdr:col>3</xdr:col>
      <xdr:colOff>256067</xdr:colOff>
      <xdr:row>19</xdr:row>
      <xdr:rowOff>95457</xdr:rowOff>
    </xdr:to>
    <mc:AlternateContent xmlns:mc="http://schemas.openxmlformats.org/markup-compatibility/2006" xmlns:a14="http://schemas.microsoft.com/office/drawing/2010/main">
      <mc:Choice Requires="a14">
        <xdr:graphicFrame macro="">
          <xdr:nvGraphicFramePr>
            <xdr:cNvPr id="6" name="Status 2">
              <a:extLst>
                <a:ext uri="{FF2B5EF4-FFF2-40B4-BE49-F238E27FC236}">
                  <a16:creationId xmlns:a16="http://schemas.microsoft.com/office/drawing/2014/main" id="{A1A68716-22DC-4B2B-8F44-E146002C7C99}"/>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244928" y="2335592"/>
              <a:ext cx="1857868" cy="1166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243668</xdr:colOff>
      <xdr:row>19</xdr:row>
      <xdr:rowOff>94920</xdr:rowOff>
    </xdr:from>
    <xdr:to>
      <xdr:col>3</xdr:col>
      <xdr:colOff>244997</xdr:colOff>
      <xdr:row>28</xdr:row>
      <xdr:rowOff>53789</xdr:rowOff>
    </xdr:to>
    <mc:AlternateContent xmlns:mc="http://schemas.openxmlformats.org/markup-compatibility/2006" xmlns:a14="http://schemas.microsoft.com/office/drawing/2010/main">
      <mc:Choice Requires="a14">
        <xdr:graphicFrame macro="">
          <xdr:nvGraphicFramePr>
            <xdr:cNvPr id="8" name="Source 1">
              <a:extLst>
                <a:ext uri="{FF2B5EF4-FFF2-40B4-BE49-F238E27FC236}">
                  <a16:creationId xmlns:a16="http://schemas.microsoft.com/office/drawing/2014/main" id="{A1E2D59C-2581-44D3-A27B-BCC603EA8C28}"/>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243668" y="3501508"/>
              <a:ext cx="1848058" cy="1572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420870</xdr:colOff>
      <xdr:row>2</xdr:row>
      <xdr:rowOff>108221</xdr:rowOff>
    </xdr:from>
    <xdr:to>
      <xdr:col>6</xdr:col>
      <xdr:colOff>22150</xdr:colOff>
      <xdr:row>4</xdr:row>
      <xdr:rowOff>63920</xdr:rowOff>
    </xdr:to>
    <xdr:sp macro="" textlink="">
      <xdr:nvSpPr>
        <xdr:cNvPr id="21" name="Rectangle 20">
          <a:extLst>
            <a:ext uri="{FF2B5EF4-FFF2-40B4-BE49-F238E27FC236}">
              <a16:creationId xmlns:a16="http://schemas.microsoft.com/office/drawing/2014/main" id="{09FC2C90-F99A-D2D8-7CE1-E2FBFE202A44}"/>
            </a:ext>
          </a:extLst>
        </xdr:cNvPr>
        <xdr:cNvSpPr/>
      </xdr:nvSpPr>
      <xdr:spPr>
        <a:xfrm>
          <a:off x="2257834" y="489221"/>
          <a:ext cx="1438245" cy="33669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77528</xdr:colOff>
      <xdr:row>2</xdr:row>
      <xdr:rowOff>119171</xdr:rowOff>
    </xdr:from>
    <xdr:to>
      <xdr:col>8</xdr:col>
      <xdr:colOff>365493</xdr:colOff>
      <xdr:row>4</xdr:row>
      <xdr:rowOff>74870</xdr:rowOff>
    </xdr:to>
    <xdr:sp macro="" textlink="">
      <xdr:nvSpPr>
        <xdr:cNvPr id="32" name="Rectangle 31">
          <a:extLst>
            <a:ext uri="{FF2B5EF4-FFF2-40B4-BE49-F238E27FC236}">
              <a16:creationId xmlns:a16="http://schemas.microsoft.com/office/drawing/2014/main" id="{5CE40B31-BEBC-41A8-889D-3C9B3513FF72}"/>
            </a:ext>
          </a:extLst>
        </xdr:cNvPr>
        <xdr:cNvSpPr/>
      </xdr:nvSpPr>
      <xdr:spPr>
        <a:xfrm>
          <a:off x="3732470" y="495741"/>
          <a:ext cx="1506279" cy="33226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409796</xdr:colOff>
      <xdr:row>2</xdr:row>
      <xdr:rowOff>116513</xdr:rowOff>
    </xdr:from>
    <xdr:to>
      <xdr:col>11</xdr:col>
      <xdr:colOff>99680</xdr:colOff>
      <xdr:row>4</xdr:row>
      <xdr:rowOff>72212</xdr:rowOff>
    </xdr:to>
    <xdr:sp macro="" textlink="">
      <xdr:nvSpPr>
        <xdr:cNvPr id="33" name="Rectangle 32">
          <a:extLst>
            <a:ext uri="{FF2B5EF4-FFF2-40B4-BE49-F238E27FC236}">
              <a16:creationId xmlns:a16="http://schemas.microsoft.com/office/drawing/2014/main" id="{55D0213A-B7B1-4052-A53E-4C834B7D8079}"/>
            </a:ext>
          </a:extLst>
        </xdr:cNvPr>
        <xdr:cNvSpPr/>
      </xdr:nvSpPr>
      <xdr:spPr>
        <a:xfrm>
          <a:off x="5283052" y="493083"/>
          <a:ext cx="1517355" cy="33226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143982</xdr:colOff>
      <xdr:row>2</xdr:row>
      <xdr:rowOff>124930</xdr:rowOff>
    </xdr:from>
    <xdr:to>
      <xdr:col>13</xdr:col>
      <xdr:colOff>476250</xdr:colOff>
      <xdr:row>4</xdr:row>
      <xdr:rowOff>80629</xdr:rowOff>
    </xdr:to>
    <xdr:sp macro="" textlink="">
      <xdr:nvSpPr>
        <xdr:cNvPr id="34" name="Rectangle 33">
          <a:extLst>
            <a:ext uri="{FF2B5EF4-FFF2-40B4-BE49-F238E27FC236}">
              <a16:creationId xmlns:a16="http://schemas.microsoft.com/office/drawing/2014/main" id="{101C9E5A-9F97-4FD4-B963-2878F66CAB46}"/>
            </a:ext>
          </a:extLst>
        </xdr:cNvPr>
        <xdr:cNvSpPr/>
      </xdr:nvSpPr>
      <xdr:spPr>
        <a:xfrm>
          <a:off x="6844709" y="501500"/>
          <a:ext cx="1550582" cy="33226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531629</xdr:colOff>
      <xdr:row>2</xdr:row>
      <xdr:rowOff>122272</xdr:rowOff>
    </xdr:from>
    <xdr:to>
      <xdr:col>16</xdr:col>
      <xdr:colOff>265814</xdr:colOff>
      <xdr:row>4</xdr:row>
      <xdr:rowOff>77971</xdr:rowOff>
    </xdr:to>
    <xdr:sp macro="" textlink="">
      <xdr:nvSpPr>
        <xdr:cNvPr id="35" name="Rectangle 34">
          <a:extLst>
            <a:ext uri="{FF2B5EF4-FFF2-40B4-BE49-F238E27FC236}">
              <a16:creationId xmlns:a16="http://schemas.microsoft.com/office/drawing/2014/main" id="{3037BFB2-1A22-475E-B5D4-E7654B507740}"/>
            </a:ext>
          </a:extLst>
        </xdr:cNvPr>
        <xdr:cNvSpPr/>
      </xdr:nvSpPr>
      <xdr:spPr>
        <a:xfrm>
          <a:off x="8450670" y="498842"/>
          <a:ext cx="1561656" cy="33226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420870</xdr:colOff>
      <xdr:row>2</xdr:row>
      <xdr:rowOff>132907</xdr:rowOff>
    </xdr:from>
    <xdr:to>
      <xdr:col>5</xdr:col>
      <xdr:colOff>332266</xdr:colOff>
      <xdr:row>4</xdr:row>
      <xdr:rowOff>55377</xdr:rowOff>
    </xdr:to>
    <xdr:sp macro="" textlink="">
      <xdr:nvSpPr>
        <xdr:cNvPr id="45" name="TextBox 44">
          <a:extLst>
            <a:ext uri="{FF2B5EF4-FFF2-40B4-BE49-F238E27FC236}">
              <a16:creationId xmlns:a16="http://schemas.microsoft.com/office/drawing/2014/main" id="{3EC9C8F7-CF00-6955-B9B5-B7DE6A5DB2C0}"/>
            </a:ext>
          </a:extLst>
        </xdr:cNvPr>
        <xdr:cNvSpPr txBox="1"/>
      </xdr:nvSpPr>
      <xdr:spPr>
        <a:xfrm>
          <a:off x="2248341" y="509477"/>
          <a:ext cx="1129710"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rgbClr val="003F72"/>
              </a:solidFill>
              <a:latin typeface="Aptos" panose="020B0004020202020204" pitchFamily="34" charset="0"/>
              <a:ea typeface="+mn-ea"/>
              <a:cs typeface="+mn-cs"/>
            </a:rPr>
            <a:t>TOTAL APP:</a:t>
          </a:r>
        </a:p>
      </xdr:txBody>
    </xdr:sp>
    <xdr:clientData/>
  </xdr:twoCellAnchor>
  <xdr:twoCellAnchor>
    <xdr:from>
      <xdr:col>6</xdr:col>
      <xdr:colOff>296389</xdr:colOff>
      <xdr:row>2</xdr:row>
      <xdr:rowOff>141326</xdr:rowOff>
    </xdr:from>
    <xdr:to>
      <xdr:col>7</xdr:col>
      <xdr:colOff>531636</xdr:colOff>
      <xdr:row>4</xdr:row>
      <xdr:rowOff>63796</xdr:rowOff>
    </xdr:to>
    <xdr:sp macro="" textlink="">
      <xdr:nvSpPr>
        <xdr:cNvPr id="50" name="TextBox 49">
          <a:extLst>
            <a:ext uri="{FF2B5EF4-FFF2-40B4-BE49-F238E27FC236}">
              <a16:creationId xmlns:a16="http://schemas.microsoft.com/office/drawing/2014/main" id="{5921A73F-B3BF-431E-8B46-E8787466370A}"/>
            </a:ext>
          </a:extLst>
        </xdr:cNvPr>
        <xdr:cNvSpPr txBox="1"/>
      </xdr:nvSpPr>
      <xdr:spPr>
        <a:xfrm>
          <a:off x="3951331" y="517896"/>
          <a:ext cx="844404"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1">
              <a:solidFill>
                <a:srgbClr val="003F72"/>
              </a:solidFill>
              <a:latin typeface="Aptos" panose="020B0004020202020204" pitchFamily="34" charset="0"/>
              <a:ea typeface="+mn-ea"/>
              <a:cs typeface="+mn-cs"/>
            </a:rPr>
            <a:t>JOINED</a:t>
          </a:r>
          <a:r>
            <a:rPr lang="en-IN" sz="1400" b="1">
              <a:solidFill>
                <a:schemeClr val="accent1"/>
              </a:solidFill>
              <a:latin typeface="Aptos" panose="020B0004020202020204" pitchFamily="34" charset="0"/>
              <a:ea typeface="+mn-ea"/>
              <a:cs typeface="+mn-cs"/>
            </a:rPr>
            <a:t>:</a:t>
          </a:r>
          <a:endParaRPr lang="en-IN" sz="1000" b="1">
            <a:solidFill>
              <a:schemeClr val="accent1"/>
            </a:solidFill>
          </a:endParaRPr>
        </a:p>
      </xdr:txBody>
    </xdr:sp>
    <xdr:clientData/>
  </xdr:twoCellAnchor>
  <xdr:twoCellAnchor>
    <xdr:from>
      <xdr:col>8</xdr:col>
      <xdr:colOff>326945</xdr:colOff>
      <xdr:row>2</xdr:row>
      <xdr:rowOff>138667</xdr:rowOff>
    </xdr:from>
    <xdr:to>
      <xdr:col>10</xdr:col>
      <xdr:colOff>365488</xdr:colOff>
      <xdr:row>4</xdr:row>
      <xdr:rowOff>61137</xdr:rowOff>
    </xdr:to>
    <xdr:sp macro="" textlink="">
      <xdr:nvSpPr>
        <xdr:cNvPr id="52" name="TextBox 51">
          <a:extLst>
            <a:ext uri="{FF2B5EF4-FFF2-40B4-BE49-F238E27FC236}">
              <a16:creationId xmlns:a16="http://schemas.microsoft.com/office/drawing/2014/main" id="{B7315EA9-D954-4867-A856-AD38C41181C6}"/>
            </a:ext>
          </a:extLst>
        </xdr:cNvPr>
        <xdr:cNvSpPr txBox="1"/>
      </xdr:nvSpPr>
      <xdr:spPr>
        <a:xfrm>
          <a:off x="5200201" y="515237"/>
          <a:ext cx="1256857"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400" b="1">
              <a:solidFill>
                <a:srgbClr val="003F72"/>
              </a:solidFill>
              <a:latin typeface="Aptos" panose="020B0004020202020204" pitchFamily="34" charset="0"/>
              <a:ea typeface="+mn-ea"/>
              <a:cs typeface="+mn-cs"/>
            </a:rPr>
            <a:t>SELECTED</a:t>
          </a:r>
          <a:r>
            <a:rPr lang="en-IN" sz="1400" b="1">
              <a:solidFill>
                <a:schemeClr val="accent1"/>
              </a:solidFill>
              <a:latin typeface="Aptos" panose="020B0004020202020204" pitchFamily="34" charset="0"/>
              <a:ea typeface="+mn-ea"/>
              <a:cs typeface="+mn-cs"/>
            </a:rPr>
            <a:t>:</a:t>
          </a:r>
        </a:p>
      </xdr:txBody>
    </xdr:sp>
    <xdr:clientData/>
  </xdr:twoCellAnchor>
  <xdr:twoCellAnchor>
    <xdr:from>
      <xdr:col>11</xdr:col>
      <xdr:colOff>246764</xdr:colOff>
      <xdr:row>2</xdr:row>
      <xdr:rowOff>147085</xdr:rowOff>
    </xdr:from>
    <xdr:to>
      <xdr:col>13</xdr:col>
      <xdr:colOff>121835</xdr:colOff>
      <xdr:row>4</xdr:row>
      <xdr:rowOff>69555</xdr:rowOff>
    </xdr:to>
    <xdr:sp macro="" textlink="">
      <xdr:nvSpPr>
        <xdr:cNvPr id="53" name="TextBox 52">
          <a:extLst>
            <a:ext uri="{FF2B5EF4-FFF2-40B4-BE49-F238E27FC236}">
              <a16:creationId xmlns:a16="http://schemas.microsoft.com/office/drawing/2014/main" id="{3C5A5BD6-CF26-4E22-9E74-F0E9BCB922E9}"/>
            </a:ext>
          </a:extLst>
        </xdr:cNvPr>
        <xdr:cNvSpPr txBox="1"/>
      </xdr:nvSpPr>
      <xdr:spPr>
        <a:xfrm>
          <a:off x="6947491" y="523655"/>
          <a:ext cx="1093385"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400" b="1">
              <a:solidFill>
                <a:srgbClr val="003F72"/>
              </a:solidFill>
              <a:latin typeface="Aptos" panose="020B0004020202020204" pitchFamily="34" charset="0"/>
              <a:ea typeface="+mn-ea"/>
              <a:cs typeface="+mn-cs"/>
            </a:rPr>
            <a:t>REJECTED</a:t>
          </a:r>
          <a:r>
            <a:rPr lang="en-IN" sz="1400" b="1">
              <a:solidFill>
                <a:schemeClr val="accent1"/>
              </a:solidFill>
              <a:latin typeface="Aptos" panose="020B0004020202020204" pitchFamily="34" charset="0"/>
              <a:ea typeface="+mn-ea"/>
              <a:cs typeface="+mn-cs"/>
            </a:rPr>
            <a:t>:</a:t>
          </a:r>
        </a:p>
      </xdr:txBody>
    </xdr:sp>
    <xdr:clientData/>
  </xdr:twoCellAnchor>
  <xdr:twoCellAnchor>
    <xdr:from>
      <xdr:col>13</xdr:col>
      <xdr:colOff>498844</xdr:colOff>
      <xdr:row>2</xdr:row>
      <xdr:rowOff>144427</xdr:rowOff>
    </xdr:from>
    <xdr:to>
      <xdr:col>15</xdr:col>
      <xdr:colOff>609155</xdr:colOff>
      <xdr:row>4</xdr:row>
      <xdr:rowOff>66897</xdr:rowOff>
    </xdr:to>
    <xdr:sp macro="" textlink="">
      <xdr:nvSpPr>
        <xdr:cNvPr id="54" name="TextBox 53">
          <a:extLst>
            <a:ext uri="{FF2B5EF4-FFF2-40B4-BE49-F238E27FC236}">
              <a16:creationId xmlns:a16="http://schemas.microsoft.com/office/drawing/2014/main" id="{439318D6-6B29-47AE-B9A1-79464F5FB5F7}"/>
            </a:ext>
          </a:extLst>
        </xdr:cNvPr>
        <xdr:cNvSpPr txBox="1"/>
      </xdr:nvSpPr>
      <xdr:spPr>
        <a:xfrm>
          <a:off x="8417885" y="520997"/>
          <a:ext cx="1328625"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1">
              <a:solidFill>
                <a:srgbClr val="003F72"/>
              </a:solidFill>
              <a:latin typeface="Aptos" panose="020B0004020202020204" pitchFamily="34" charset="0"/>
              <a:ea typeface="+mn-ea"/>
              <a:cs typeface="+mn-cs"/>
            </a:rPr>
            <a:t>HIRING</a:t>
          </a:r>
          <a:r>
            <a:rPr lang="en-IN" sz="1400" b="1">
              <a:solidFill>
                <a:schemeClr val="accent1"/>
              </a:solidFill>
              <a:latin typeface="Aptos" panose="020B0004020202020204" pitchFamily="34" charset="0"/>
              <a:ea typeface="+mn-ea"/>
              <a:cs typeface="+mn-cs"/>
            </a:rPr>
            <a:t> RATE:</a:t>
          </a:r>
        </a:p>
      </xdr:txBody>
    </xdr:sp>
    <xdr:clientData/>
  </xdr:twoCellAnchor>
  <xdr:twoCellAnchor>
    <xdr:from>
      <xdr:col>5</xdr:col>
      <xdr:colOff>177213</xdr:colOff>
      <xdr:row>2</xdr:row>
      <xdr:rowOff>141769</xdr:rowOff>
    </xdr:from>
    <xdr:to>
      <xdr:col>6</xdr:col>
      <xdr:colOff>55380</xdr:colOff>
      <xdr:row>4</xdr:row>
      <xdr:rowOff>64239</xdr:rowOff>
    </xdr:to>
    <xdr:sp macro="" textlink="'Cdt. Analysis'!C3">
      <xdr:nvSpPr>
        <xdr:cNvPr id="55" name="TextBox 54">
          <a:extLst>
            <a:ext uri="{FF2B5EF4-FFF2-40B4-BE49-F238E27FC236}">
              <a16:creationId xmlns:a16="http://schemas.microsoft.com/office/drawing/2014/main" id="{70EAAAD8-9615-43CD-843D-A326462C98CE}"/>
            </a:ext>
          </a:extLst>
        </xdr:cNvPr>
        <xdr:cNvSpPr txBox="1"/>
      </xdr:nvSpPr>
      <xdr:spPr>
        <a:xfrm>
          <a:off x="3222998" y="518339"/>
          <a:ext cx="487324"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A98886E-90F5-4D61-A7CE-47F204BEE1D2}" type="TxLink">
            <a:rPr lang="en-US" sz="1400" b="1" i="0" u="none" strike="noStrike">
              <a:solidFill>
                <a:schemeClr val="tx1">
                  <a:lumMod val="85000"/>
                  <a:lumOff val="15000"/>
                </a:schemeClr>
              </a:solidFill>
              <a:latin typeface="Aptos Narrow"/>
            </a:rPr>
            <a:pPr algn="l"/>
            <a:t>200</a:t>
          </a:fld>
          <a:endParaRPr lang="en-IN" sz="1400" b="1">
            <a:solidFill>
              <a:schemeClr val="tx1">
                <a:lumMod val="85000"/>
                <a:lumOff val="15000"/>
              </a:schemeClr>
            </a:solidFill>
          </a:endParaRPr>
        </a:p>
      </xdr:txBody>
    </xdr:sp>
    <xdr:clientData/>
  </xdr:twoCellAnchor>
  <xdr:twoCellAnchor>
    <xdr:from>
      <xdr:col>7</xdr:col>
      <xdr:colOff>396384</xdr:colOff>
      <xdr:row>2</xdr:row>
      <xdr:rowOff>166323</xdr:rowOff>
    </xdr:from>
    <xdr:to>
      <xdr:col>8</xdr:col>
      <xdr:colOff>232463</xdr:colOff>
      <xdr:row>4</xdr:row>
      <xdr:rowOff>88793</xdr:rowOff>
    </xdr:to>
    <xdr:sp macro="" textlink="'Cdt. Analysis'!C4">
      <xdr:nvSpPr>
        <xdr:cNvPr id="56" name="TextBox 55">
          <a:extLst>
            <a:ext uri="{FF2B5EF4-FFF2-40B4-BE49-F238E27FC236}">
              <a16:creationId xmlns:a16="http://schemas.microsoft.com/office/drawing/2014/main" id="{2EF3DB66-ED20-4970-B236-B038DF39D987}"/>
            </a:ext>
          </a:extLst>
        </xdr:cNvPr>
        <xdr:cNvSpPr txBox="1"/>
      </xdr:nvSpPr>
      <xdr:spPr>
        <a:xfrm>
          <a:off x="4682634" y="547323"/>
          <a:ext cx="448400"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AF54BA9-2BC2-4D38-969A-40930BBE4A03}" type="TxLink">
            <a:rPr lang="en-US" sz="1400" b="1" i="0" u="none" strike="noStrike">
              <a:solidFill>
                <a:schemeClr val="tx1">
                  <a:lumMod val="85000"/>
                  <a:lumOff val="15000"/>
                </a:schemeClr>
              </a:solidFill>
              <a:latin typeface="Aptos Narrow"/>
              <a:ea typeface="+mn-ea"/>
              <a:cs typeface="+mn-cs"/>
            </a:rPr>
            <a:pPr marL="0" indent="0" algn="l"/>
            <a:t>26</a:t>
          </a:fld>
          <a:endParaRPr lang="en-IN" sz="1400" b="1" i="0" u="none" strike="noStrike">
            <a:solidFill>
              <a:schemeClr val="tx1">
                <a:lumMod val="85000"/>
                <a:lumOff val="15000"/>
              </a:schemeClr>
            </a:solidFill>
            <a:latin typeface="Aptos Narrow"/>
            <a:ea typeface="+mn-ea"/>
            <a:cs typeface="+mn-cs"/>
          </a:endParaRPr>
        </a:p>
      </xdr:txBody>
    </xdr:sp>
    <xdr:clientData/>
  </xdr:twoCellAnchor>
  <xdr:twoCellAnchor>
    <xdr:from>
      <xdr:col>10</xdr:col>
      <xdr:colOff>225063</xdr:colOff>
      <xdr:row>2</xdr:row>
      <xdr:rowOff>147526</xdr:rowOff>
    </xdr:from>
    <xdr:to>
      <xdr:col>11</xdr:col>
      <xdr:colOff>61142</xdr:colOff>
      <xdr:row>4</xdr:row>
      <xdr:rowOff>69996</xdr:rowOff>
    </xdr:to>
    <xdr:sp macro="" textlink="'Cdt. Analysis'!C5">
      <xdr:nvSpPr>
        <xdr:cNvPr id="57" name="TextBox 56">
          <a:extLst>
            <a:ext uri="{FF2B5EF4-FFF2-40B4-BE49-F238E27FC236}">
              <a16:creationId xmlns:a16="http://schemas.microsoft.com/office/drawing/2014/main" id="{3694277C-4313-40B5-9957-14779039A861}"/>
            </a:ext>
          </a:extLst>
        </xdr:cNvPr>
        <xdr:cNvSpPr txBox="1"/>
      </xdr:nvSpPr>
      <xdr:spPr>
        <a:xfrm>
          <a:off x="6316633" y="524096"/>
          <a:ext cx="445236"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FA7AD0-3078-45DF-9337-6C747393FD14}" type="TxLink">
            <a:rPr lang="en-US" sz="1400" b="1" i="0" u="none" strike="noStrike">
              <a:solidFill>
                <a:schemeClr val="tx1">
                  <a:lumMod val="85000"/>
                  <a:lumOff val="15000"/>
                </a:schemeClr>
              </a:solidFill>
              <a:latin typeface="Aptos Narrow"/>
              <a:ea typeface="+mn-ea"/>
              <a:cs typeface="+mn-cs"/>
            </a:rPr>
            <a:pPr marL="0" indent="0" algn="l"/>
            <a:t>38</a:t>
          </a:fld>
          <a:endParaRPr lang="en-IN" sz="1400" b="1" i="0" u="none" strike="noStrike">
            <a:solidFill>
              <a:schemeClr val="tx1">
                <a:lumMod val="85000"/>
                <a:lumOff val="15000"/>
              </a:schemeClr>
            </a:solidFill>
            <a:latin typeface="Aptos Narrow"/>
            <a:ea typeface="+mn-ea"/>
            <a:cs typeface="+mn-cs"/>
          </a:endParaRPr>
        </a:p>
      </xdr:txBody>
    </xdr:sp>
    <xdr:clientData/>
  </xdr:twoCellAnchor>
  <xdr:twoCellAnchor>
    <xdr:from>
      <xdr:col>12</xdr:col>
      <xdr:colOff>590429</xdr:colOff>
      <xdr:row>2</xdr:row>
      <xdr:rowOff>144871</xdr:rowOff>
    </xdr:from>
    <xdr:to>
      <xdr:col>13</xdr:col>
      <xdr:colOff>426508</xdr:colOff>
      <xdr:row>4</xdr:row>
      <xdr:rowOff>67341</xdr:rowOff>
    </xdr:to>
    <xdr:sp macro="" textlink="'Cdt. Analysis'!C6">
      <xdr:nvSpPr>
        <xdr:cNvPr id="58" name="TextBox 57">
          <a:extLst>
            <a:ext uri="{FF2B5EF4-FFF2-40B4-BE49-F238E27FC236}">
              <a16:creationId xmlns:a16="http://schemas.microsoft.com/office/drawing/2014/main" id="{CFD4C50D-2C60-4FF7-95A3-9072B6D1150B}"/>
            </a:ext>
          </a:extLst>
        </xdr:cNvPr>
        <xdr:cNvSpPr txBox="1"/>
      </xdr:nvSpPr>
      <xdr:spPr>
        <a:xfrm>
          <a:off x="7938286" y="525871"/>
          <a:ext cx="448401"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43682-1FEF-4FD6-B415-5FD8F26F7CAA}" type="TxLink">
            <a:rPr lang="en-US" sz="1400" b="1" i="0" u="none" strike="noStrike">
              <a:solidFill>
                <a:schemeClr val="tx1">
                  <a:lumMod val="85000"/>
                  <a:lumOff val="15000"/>
                </a:schemeClr>
              </a:solidFill>
              <a:latin typeface="Aptos Narrow"/>
              <a:ea typeface="+mn-ea"/>
              <a:cs typeface="+mn-cs"/>
            </a:rPr>
            <a:pPr marL="0" indent="0" algn="l"/>
            <a:t>17</a:t>
          </a:fld>
          <a:endParaRPr lang="en-IN" sz="1400" b="1" i="0" u="none" strike="noStrike">
            <a:solidFill>
              <a:schemeClr val="tx1">
                <a:lumMod val="85000"/>
                <a:lumOff val="15000"/>
              </a:schemeClr>
            </a:solidFill>
            <a:latin typeface="Aptos Narrow"/>
            <a:ea typeface="+mn-ea"/>
            <a:cs typeface="+mn-cs"/>
          </a:endParaRPr>
        </a:p>
      </xdr:txBody>
    </xdr:sp>
    <xdr:clientData/>
  </xdr:twoCellAnchor>
  <xdr:twoCellAnchor>
    <xdr:from>
      <xdr:col>15</xdr:col>
      <xdr:colOff>430190</xdr:colOff>
      <xdr:row>2</xdr:row>
      <xdr:rowOff>153291</xdr:rowOff>
    </xdr:from>
    <xdr:to>
      <xdr:col>16</xdr:col>
      <xdr:colOff>409799</xdr:colOff>
      <xdr:row>4</xdr:row>
      <xdr:rowOff>75761</xdr:rowOff>
    </xdr:to>
    <xdr:sp macro="" textlink="'Cdt. Analysis'!C7">
      <xdr:nvSpPr>
        <xdr:cNvPr id="59" name="TextBox 58">
          <a:extLst>
            <a:ext uri="{FF2B5EF4-FFF2-40B4-BE49-F238E27FC236}">
              <a16:creationId xmlns:a16="http://schemas.microsoft.com/office/drawing/2014/main" id="{088319C8-C026-4D59-BB85-A1D9B386ED02}"/>
            </a:ext>
          </a:extLst>
        </xdr:cNvPr>
        <xdr:cNvSpPr txBox="1"/>
      </xdr:nvSpPr>
      <xdr:spPr>
        <a:xfrm>
          <a:off x="9567545" y="529861"/>
          <a:ext cx="588766" cy="29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BABE66-421D-483D-BE25-E91C1DA3C3D1}" type="TxLink">
            <a:rPr lang="en-US" sz="1400" b="1" i="0" u="none" strike="noStrike">
              <a:solidFill>
                <a:schemeClr val="tx1">
                  <a:lumMod val="85000"/>
                  <a:lumOff val="15000"/>
                </a:schemeClr>
              </a:solidFill>
              <a:latin typeface="Aptos Narrow"/>
              <a:ea typeface="+mn-ea"/>
              <a:cs typeface="+mn-cs"/>
            </a:rPr>
            <a:pPr marL="0" indent="0" algn="l"/>
            <a:t>13%</a:t>
          </a:fld>
          <a:endParaRPr lang="en-IN" sz="1400" b="1" i="0" u="none" strike="noStrike">
            <a:solidFill>
              <a:schemeClr val="tx1">
                <a:lumMod val="85000"/>
                <a:lumOff val="15000"/>
              </a:schemeClr>
            </a:solidFill>
            <a:latin typeface="Aptos Narrow"/>
            <a:ea typeface="+mn-ea"/>
            <a:cs typeface="+mn-cs"/>
          </a:endParaRPr>
        </a:p>
      </xdr:txBody>
    </xdr:sp>
    <xdr:clientData/>
  </xdr:twoCellAnchor>
  <xdr:twoCellAnchor editAs="oneCell">
    <xdr:from>
      <xdr:col>0</xdr:col>
      <xdr:colOff>160885</xdr:colOff>
      <xdr:row>1</xdr:row>
      <xdr:rowOff>113659</xdr:rowOff>
    </xdr:from>
    <xdr:to>
      <xdr:col>3</xdr:col>
      <xdr:colOff>419421</xdr:colOff>
      <xdr:row>4</xdr:row>
      <xdr:rowOff>100052</xdr:rowOff>
    </xdr:to>
    <xdr:pic>
      <xdr:nvPicPr>
        <xdr:cNvPr id="22" name="Picture 21">
          <a:extLst>
            <a:ext uri="{FF2B5EF4-FFF2-40B4-BE49-F238E27FC236}">
              <a16:creationId xmlns:a16="http://schemas.microsoft.com/office/drawing/2014/main" id="{C960950B-6A1D-9D7B-6982-6A2FEF3DB2B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0885" y="304159"/>
          <a:ext cx="2073889" cy="5578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richPivotRecords" Target="richPivotRecords1.xm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Vishwakarma" refreshedDate="46285.974412962962" createdVersion="8" refreshedVersion="8" minRefreshableVersion="3" recordCount="200" xr:uid="{0B0D0C4A-DB10-40BB-9B74-807BF32CE97F}">
  <cacheSource type="worksheet">
    <worksheetSource name="Table1"/>
  </cacheSource>
  <cacheFields count="20">
    <cacheField name="Application ID" numFmtId="0">
      <sharedItems/>
    </cacheField>
    <cacheField name="Candidate Name" numFmtId="0">
      <sharedItems/>
    </cacheField>
    <cacheField name="Gender" numFmtId="0">
      <sharedItems count="2">
        <s v="Female"/>
        <s v="Male"/>
      </sharedItems>
    </cacheField>
    <cacheField name="Age" numFmtId="0">
      <sharedItems containsSemiMixedTypes="0" containsString="0" containsNumber="1" containsInteger="1" minValue="21" maxValue="40"/>
    </cacheField>
    <cacheField name="Job Position" numFmtId="0">
      <sharedItems/>
    </cacheField>
    <cacheField name="Department" numFmtId="0">
      <sharedItems count="4">
        <s v="Operations"/>
        <s v="HR"/>
        <s v="Finance"/>
        <s v="IT"/>
      </sharedItems>
    </cacheField>
    <cacheField name="Recruiter" numFmtId="0">
      <sharedItems count="4">
        <s v="Sonal"/>
        <s v="Aman"/>
        <s v="Deepak"/>
        <s v="Riya"/>
      </sharedItems>
    </cacheField>
    <cacheField name="Source" numFmtId="0">
      <sharedItems count="5">
        <s v="Naukri"/>
        <s v="Referral"/>
        <s v="Indeed"/>
        <s v="Campus"/>
        <s v="LinkedIn"/>
      </sharedItems>
    </cacheField>
    <cacheField name="Applied Date" numFmtId="14">
      <sharedItems containsSemiMixedTypes="0" containsNonDate="0" containsDate="1" containsString="0" minDate="2026-01-01T00:00:00" maxDate="2026-06-30T00:00:00" count="121">
        <d v="2026-01-11T00:00:00"/>
        <d v="2026-01-17T00:00:00"/>
        <d v="2026-02-17T00:00:00"/>
        <d v="2026-05-06T00:00:00"/>
        <d v="2026-06-25T00:00:00"/>
        <d v="2026-04-04T00:00:00"/>
        <d v="2026-02-04T00:00:00"/>
        <d v="2026-04-21T00:00:00"/>
        <d v="2026-01-31T00:00:00"/>
        <d v="2026-03-16T00:00:00"/>
        <d v="2026-05-04T00:00:00"/>
        <d v="2026-05-05T00:00:00"/>
        <d v="2026-02-16T00:00:00"/>
        <d v="2026-06-24T00:00:00"/>
        <d v="2026-03-02T00:00:00"/>
        <d v="2026-02-24T00:00:00"/>
        <d v="2026-06-20T00:00:00"/>
        <d v="2026-05-09T00:00:00"/>
        <d v="2026-02-28T00:00:00"/>
        <d v="2026-01-30T00:00:00"/>
        <d v="2026-02-11T00:00:00"/>
        <d v="2026-04-15T00:00:00"/>
        <d v="2026-01-05T00:00:00"/>
        <d v="2026-01-14T00:00:00"/>
        <d v="2026-06-13T00:00:00"/>
        <d v="2026-03-09T00:00:00"/>
        <d v="2026-04-30T00:00:00"/>
        <d v="2026-05-08T00:00:00"/>
        <d v="2026-02-25T00:00:00"/>
        <d v="2026-04-13T00:00:00"/>
        <d v="2026-05-25T00:00:00"/>
        <d v="2026-02-07T00:00:00"/>
        <d v="2026-06-09T00:00:00"/>
        <d v="2026-01-27T00:00:00"/>
        <d v="2026-05-28T00:00:00"/>
        <d v="2026-04-24T00:00:00"/>
        <d v="2026-06-10T00:00:00"/>
        <d v="2026-06-21T00:00:00"/>
        <d v="2026-04-22T00:00:00"/>
        <d v="2026-05-13T00:00:00"/>
        <d v="2026-02-10T00:00:00"/>
        <d v="2026-04-01T00:00:00"/>
        <d v="2026-03-25T00:00:00"/>
        <d v="2026-04-27T00:00:00"/>
        <d v="2026-03-05T00:00:00"/>
        <d v="2026-03-18T00:00:00"/>
        <d v="2026-03-03T00:00:00"/>
        <d v="2026-04-09T00:00:00"/>
        <d v="2026-06-04T00:00:00"/>
        <d v="2026-03-13T00:00:00"/>
        <d v="2026-05-21T00:00:00"/>
        <d v="2026-02-26T00:00:00"/>
        <d v="2026-03-08T00:00:00"/>
        <d v="2026-06-14T00:00:00"/>
        <d v="2026-02-01T00:00:00"/>
        <d v="2026-02-05T00:00:00"/>
        <d v="2026-05-18T00:00:00"/>
        <d v="2026-03-17T00:00:00"/>
        <d v="2026-06-16T00:00:00"/>
        <d v="2026-01-03T00:00:00"/>
        <d v="2026-06-05T00:00:00"/>
        <d v="2026-04-26T00:00:00"/>
        <d v="2026-01-06T00:00:00"/>
        <d v="2026-03-24T00:00:00"/>
        <d v="2026-02-19T00:00:00"/>
        <d v="2026-06-18T00:00:00"/>
        <d v="2026-05-19T00:00:00"/>
        <d v="2026-05-22T00:00:00"/>
        <d v="2026-03-15T00:00:00"/>
        <d v="2026-01-12T00:00:00"/>
        <d v="2026-05-20T00:00:00"/>
        <d v="2026-03-12T00:00:00"/>
        <d v="2026-03-27T00:00:00"/>
        <d v="2026-05-07T00:00:00"/>
        <d v="2026-01-09T00:00:00"/>
        <d v="2026-01-22T00:00:00"/>
        <d v="2026-05-30T00:00:00"/>
        <d v="2026-02-22T00:00:00"/>
        <d v="2026-05-03T00:00:00"/>
        <d v="2026-02-08T00:00:00"/>
        <d v="2026-03-22T00:00:00"/>
        <d v="2026-01-18T00:00:00"/>
        <d v="2026-01-20T00:00:00"/>
        <d v="2026-04-17T00:00:00"/>
        <d v="2026-03-11T00:00:00"/>
        <d v="2026-06-29T00:00:00"/>
        <d v="2026-03-19T00:00:00"/>
        <d v="2026-04-23T00:00:00"/>
        <d v="2026-05-02T00:00:00"/>
        <d v="2026-03-26T00:00:00"/>
        <d v="2026-06-06T00:00:00"/>
        <d v="2026-02-13T00:00:00"/>
        <d v="2026-01-07T00:00:00"/>
        <d v="2026-06-11T00:00:00"/>
        <d v="2026-01-01T00:00:00"/>
        <d v="2026-03-30T00:00:00"/>
        <d v="2026-01-02T00:00:00"/>
        <d v="2026-01-21T00:00:00"/>
        <d v="2026-05-17T00:00:00"/>
        <d v="2026-04-20T00:00:00"/>
        <d v="2026-03-10T00:00:00"/>
        <d v="2026-06-19T00:00:00"/>
        <d v="2026-02-14T00:00:00"/>
        <d v="2026-01-28T00:00:00"/>
        <d v="2026-04-25T00:00:00"/>
        <d v="2026-06-08T00:00:00"/>
        <d v="2026-05-01T00:00:00"/>
        <d v="2026-03-28T00:00:00"/>
        <d v="2026-02-15T00:00:00"/>
        <d v="2026-05-14T00:00:00"/>
        <d v="2026-02-09T00:00:00"/>
        <d v="2026-04-10T00:00:00"/>
        <d v="2026-06-17T00:00:00"/>
        <d v="2026-01-24T00:00:00"/>
        <d v="2026-05-29T00:00:00"/>
        <d v="2026-04-16T00:00:00"/>
        <d v="2026-04-19T00:00:00"/>
        <d v="2026-01-19T00:00:00"/>
        <d v="2026-06-15T00:00:00"/>
        <d v="2026-04-07T00:00:00"/>
        <d v="2026-05-26T00:00:00"/>
      </sharedItems>
      <fieldGroup par="19"/>
    </cacheField>
    <cacheField name="Interview Date" numFmtId="14">
      <sharedItems containsSemiMixedTypes="0" containsNonDate="0" containsDate="1" containsString="0" minDate="2026-01-07T00:00:00" maxDate="2026-07-10T00:00:00"/>
    </cacheField>
    <cacheField name="Offer Date" numFmtId="14">
      <sharedItems containsNonDate="0" containsDate="1" containsString="0" containsBlank="1" minDate="2026-01-11T00:00:00" maxDate="2026-07-16T00:00:00"/>
    </cacheField>
    <cacheField name="Joining Date" numFmtId="14">
      <sharedItems containsNonDate="0" containsDate="1" containsString="0" containsBlank="1" minDate="2026-01-22T00:00:00" maxDate="2026-07-22T00:00:00"/>
    </cacheField>
    <cacheField name="Status" numFmtId="0">
      <sharedItems count="7">
        <s v="Interview"/>
        <s v="Screening"/>
        <s v="Joined"/>
        <s v="Applied"/>
        <s v="Rejected"/>
        <s v="Selected"/>
        <s v="Offered"/>
      </sharedItems>
    </cacheField>
    <cacheField name="Expected Salary" numFmtId="164">
      <sharedItems containsSemiMixedTypes="0" containsString="0" containsNumber="1" containsInteger="1" minValue="300057" maxValue="898112"/>
    </cacheField>
    <cacheField name="Offered Salary" numFmtId="164">
      <sharedItems containsString="0" containsBlank="1" containsNumber="1" containsInteger="1" minValue="320381" maxValue="940832"/>
    </cacheField>
    <cacheField name="Experience" numFmtId="0">
      <sharedItems containsSemiMixedTypes="0" containsString="0" containsNumber="1" containsInteger="1" minValue="1" maxValue="12"/>
    </cacheField>
    <cacheField name="City" numFmtId="0">
      <sharedItems count="3">
        <s v="Delhi"/>
        <s v="Noida"/>
        <s v="Gurgaon"/>
      </sharedItems>
    </cacheField>
    <cacheField name="Time to Hire" numFmtId="0">
      <sharedItems containsBlank="1" containsMixedTypes="1" containsNumber="1" containsInteger="1" minValue="12" maxValue="33"/>
    </cacheField>
    <cacheField name="Days (Applied Date)" numFmtId="0" databaseField="0">
      <fieldGroup base="8">
        <rangePr groupBy="days" startDate="2026-01-01T00:00:00" endDate="2026-06-30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6"/>
        </groupItems>
      </fieldGroup>
    </cacheField>
    <cacheField name="Months (Applied Date)" numFmtId="0" databaseField="0">
      <fieldGroup base="8">
        <rangePr groupBy="months" startDate="2026-01-01T00:00:00" endDate="2026-06-30T00:00:00"/>
        <groupItems count="14">
          <s v="&lt;01-01-2026"/>
          <s v="Jan"/>
          <s v="Feb"/>
          <s v="Mar"/>
          <s v="Apr"/>
          <s v="May"/>
          <s v="Jun"/>
          <s v="Jul"/>
          <s v="Aug"/>
          <s v="Sep"/>
          <s v="Oct"/>
          <s v="Nov"/>
          <s v="Dec"/>
          <s v="&gt;30-06-2026"/>
        </groupItems>
      </fieldGroup>
    </cacheField>
  </cacheFields>
  <extLst>
    <ext xmlns:x14="http://schemas.microsoft.com/office/spreadsheetml/2009/9/main" uri="{725AE2AE-9491-48be-B2B4-4EB974FC3084}">
      <x14:pivotCacheDefinition pivotCacheId="470689598"/>
    </ext>
    <ext xmlns:xprd="http://schemas.microsoft.com/office/spreadsheetml/2022/pivotRichData" uri="{2C874A73-7782-4A18-856F-96AC7E287872}">
      <xprd:richInfo pivotCacheGuid="{0B0D0C4A-DB10-40BB-9B74-807BF32CE97F}" pivotIgnoreInvalidCache="1" r:id="r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PP001"/>
    <s v="Sneha"/>
    <x v="0"/>
    <n v="35"/>
    <s v="Manager"/>
    <x v="0"/>
    <x v="0"/>
    <x v="0"/>
    <x v="0"/>
    <d v="2026-01-20T00:00:00"/>
    <m/>
    <m/>
    <x v="0"/>
    <n v="368252"/>
    <m/>
    <n v="3"/>
    <x v="0"/>
    <s v=""/>
  </r>
  <r>
    <s v="APP002"/>
    <s v="Neha"/>
    <x v="0"/>
    <n v="28"/>
    <s v="Manager"/>
    <x v="0"/>
    <x v="1"/>
    <x v="1"/>
    <x v="1"/>
    <d v="2026-01-27T00:00:00"/>
    <m/>
    <m/>
    <x v="0"/>
    <n v="438097"/>
    <m/>
    <n v="7"/>
    <x v="0"/>
    <s v=""/>
  </r>
  <r>
    <s v="APP003"/>
    <s v="Rohit"/>
    <x v="0"/>
    <n v="39"/>
    <s v="Manager"/>
    <x v="0"/>
    <x v="2"/>
    <x v="2"/>
    <x v="2"/>
    <d v="2026-02-23T00:00:00"/>
    <m/>
    <m/>
    <x v="1"/>
    <n v="610568"/>
    <m/>
    <n v="4"/>
    <x v="0"/>
    <s v=""/>
  </r>
  <r>
    <s v="APP004"/>
    <s v="Anjali"/>
    <x v="1"/>
    <n v="33"/>
    <s v="HR Exec"/>
    <x v="1"/>
    <x v="1"/>
    <x v="1"/>
    <x v="3"/>
    <d v="2026-05-14T00:00:00"/>
    <d v="2026-05-21T00:00:00"/>
    <d v="2026-06-02T00:00:00"/>
    <x v="2"/>
    <n v="555168"/>
    <n v="940832"/>
    <n v="3"/>
    <x v="1"/>
    <n v="27"/>
  </r>
  <r>
    <s v="APP005"/>
    <s v="Sneha"/>
    <x v="1"/>
    <n v="23"/>
    <s v="Accountant"/>
    <x v="2"/>
    <x v="1"/>
    <x v="0"/>
    <x v="4"/>
    <d v="2026-06-30T00:00:00"/>
    <d v="2026-07-06T00:00:00"/>
    <d v="2026-07-16T00:00:00"/>
    <x v="2"/>
    <n v="804815"/>
    <n v="461326"/>
    <n v="5"/>
    <x v="2"/>
    <n v="21"/>
  </r>
  <r>
    <s v="APP006"/>
    <s v="Vikas"/>
    <x v="0"/>
    <n v="34"/>
    <s v="Developer"/>
    <x v="3"/>
    <x v="1"/>
    <x v="1"/>
    <x v="5"/>
    <d v="2026-04-11T00:00:00"/>
    <m/>
    <m/>
    <x v="3"/>
    <n v="335317"/>
    <m/>
    <n v="8"/>
    <x v="0"/>
    <s v=""/>
  </r>
  <r>
    <s v="APP007"/>
    <s v="Rohit"/>
    <x v="0"/>
    <n v="24"/>
    <s v="Analyst"/>
    <x v="3"/>
    <x v="1"/>
    <x v="3"/>
    <x v="6"/>
    <d v="2026-02-14T00:00:00"/>
    <m/>
    <m/>
    <x v="1"/>
    <n v="597328"/>
    <m/>
    <n v="3"/>
    <x v="2"/>
    <s v=""/>
  </r>
  <r>
    <s v="APP008"/>
    <s v="Rohit"/>
    <x v="1"/>
    <n v="29"/>
    <s v="HR Exec"/>
    <x v="1"/>
    <x v="3"/>
    <x v="4"/>
    <x v="7"/>
    <d v="2026-04-28T00:00:00"/>
    <m/>
    <m/>
    <x v="1"/>
    <n v="821143"/>
    <m/>
    <n v="4"/>
    <x v="1"/>
    <m/>
  </r>
  <r>
    <s v="APP009"/>
    <s v="Amit"/>
    <x v="0"/>
    <n v="40"/>
    <s v="Analyst"/>
    <x v="3"/>
    <x v="3"/>
    <x v="1"/>
    <x v="8"/>
    <d v="2026-02-04T00:00:00"/>
    <m/>
    <m/>
    <x v="4"/>
    <n v="587195"/>
    <m/>
    <n v="6"/>
    <x v="1"/>
    <s v=""/>
  </r>
  <r>
    <s v="APP010"/>
    <s v="Vikas"/>
    <x v="0"/>
    <n v="24"/>
    <s v="HR Exec"/>
    <x v="1"/>
    <x v="2"/>
    <x v="3"/>
    <x v="9"/>
    <d v="2026-03-21T00:00:00"/>
    <m/>
    <m/>
    <x v="3"/>
    <n v="875980"/>
    <m/>
    <n v="8"/>
    <x v="1"/>
    <s v=""/>
  </r>
  <r>
    <s v="APP011"/>
    <s v="Anjali"/>
    <x v="0"/>
    <n v="34"/>
    <s v="Manager"/>
    <x v="0"/>
    <x v="2"/>
    <x v="0"/>
    <x v="10"/>
    <d v="2026-05-08T00:00:00"/>
    <m/>
    <m/>
    <x v="1"/>
    <n v="406375"/>
    <m/>
    <n v="4"/>
    <x v="1"/>
    <s v=""/>
  </r>
  <r>
    <s v="APP012"/>
    <s v="Rohit"/>
    <x v="1"/>
    <n v="26"/>
    <s v="Analyst"/>
    <x v="3"/>
    <x v="0"/>
    <x v="2"/>
    <x v="11"/>
    <d v="2026-05-08T00:00:00"/>
    <d v="2026-05-10T00:00:00"/>
    <d v="2026-05-26T00:00:00"/>
    <x v="2"/>
    <n v="490750"/>
    <n v="453255"/>
    <n v="6"/>
    <x v="2"/>
    <n v="21"/>
  </r>
  <r>
    <s v="APP013"/>
    <s v="Amit"/>
    <x v="0"/>
    <n v="36"/>
    <s v="Analyst"/>
    <x v="3"/>
    <x v="1"/>
    <x v="1"/>
    <x v="12"/>
    <d v="2026-02-25T00:00:00"/>
    <m/>
    <m/>
    <x v="3"/>
    <n v="710140"/>
    <m/>
    <n v="1"/>
    <x v="0"/>
    <s v=""/>
  </r>
  <r>
    <s v="APP014"/>
    <s v="Neha"/>
    <x v="0"/>
    <n v="30"/>
    <s v="Analyst"/>
    <x v="3"/>
    <x v="1"/>
    <x v="0"/>
    <x v="13"/>
    <d v="2026-07-03T00:00:00"/>
    <m/>
    <m/>
    <x v="3"/>
    <n v="752488"/>
    <m/>
    <n v="6"/>
    <x v="1"/>
    <s v=""/>
  </r>
  <r>
    <s v="APP015"/>
    <s v="Sneha"/>
    <x v="0"/>
    <n v="36"/>
    <s v="Manager"/>
    <x v="0"/>
    <x v="0"/>
    <x v="4"/>
    <x v="14"/>
    <d v="2026-03-09T00:00:00"/>
    <m/>
    <m/>
    <x v="0"/>
    <n v="739769"/>
    <m/>
    <n v="1"/>
    <x v="1"/>
    <s v=""/>
  </r>
  <r>
    <s v="APP016"/>
    <s v="Anjali"/>
    <x v="0"/>
    <n v="34"/>
    <s v="HR Exec"/>
    <x v="1"/>
    <x v="0"/>
    <x v="4"/>
    <x v="15"/>
    <d v="2026-02-28T00:00:00"/>
    <m/>
    <m/>
    <x v="1"/>
    <n v="382570"/>
    <m/>
    <n v="4"/>
    <x v="1"/>
    <s v=""/>
  </r>
  <r>
    <s v="APP017"/>
    <s v="Amit"/>
    <x v="1"/>
    <n v="32"/>
    <s v="Accountant"/>
    <x v="2"/>
    <x v="2"/>
    <x v="3"/>
    <x v="16"/>
    <d v="2026-06-27T00:00:00"/>
    <m/>
    <m/>
    <x v="1"/>
    <n v="855646"/>
    <m/>
    <n v="11"/>
    <x v="1"/>
    <s v=""/>
  </r>
  <r>
    <s v="APP018"/>
    <s v="Vikas"/>
    <x v="1"/>
    <n v="21"/>
    <s v="Manager"/>
    <x v="0"/>
    <x v="3"/>
    <x v="3"/>
    <x v="17"/>
    <d v="2026-05-18T00:00:00"/>
    <m/>
    <m/>
    <x v="5"/>
    <n v="819776"/>
    <m/>
    <n v="5"/>
    <x v="1"/>
    <s v=""/>
  </r>
  <r>
    <s v="APP019"/>
    <s v="Amit"/>
    <x v="0"/>
    <n v="35"/>
    <s v="Accountant"/>
    <x v="2"/>
    <x v="1"/>
    <x v="0"/>
    <x v="18"/>
    <d v="2026-03-09T00:00:00"/>
    <m/>
    <m/>
    <x v="5"/>
    <n v="455546"/>
    <m/>
    <n v="12"/>
    <x v="1"/>
    <s v=""/>
  </r>
  <r>
    <s v="APP020"/>
    <s v="Anjali"/>
    <x v="1"/>
    <n v="21"/>
    <s v="Developer"/>
    <x v="3"/>
    <x v="1"/>
    <x v="0"/>
    <x v="19"/>
    <d v="2026-02-08T00:00:00"/>
    <d v="2026-02-11T00:00:00"/>
    <d v="2026-02-23T00:00:00"/>
    <x v="2"/>
    <n v="552774"/>
    <n v="796266"/>
    <n v="1"/>
    <x v="1"/>
    <n v="24"/>
  </r>
  <r>
    <s v="APP021"/>
    <s v="Sneha"/>
    <x v="1"/>
    <n v="31"/>
    <s v="Developer"/>
    <x v="3"/>
    <x v="0"/>
    <x v="4"/>
    <x v="20"/>
    <d v="2026-02-19T00:00:00"/>
    <m/>
    <m/>
    <x v="1"/>
    <n v="632115"/>
    <m/>
    <n v="12"/>
    <x v="2"/>
    <s v=""/>
  </r>
  <r>
    <s v="APP022"/>
    <s v="Anjali"/>
    <x v="0"/>
    <n v="29"/>
    <s v="HR Exec"/>
    <x v="1"/>
    <x v="1"/>
    <x v="1"/>
    <x v="21"/>
    <d v="2026-04-20T00:00:00"/>
    <m/>
    <m/>
    <x v="5"/>
    <n v="555664"/>
    <m/>
    <n v="2"/>
    <x v="2"/>
    <s v=""/>
  </r>
  <r>
    <s v="APP023"/>
    <s v="Rahul"/>
    <x v="0"/>
    <n v="31"/>
    <s v="HR Exec"/>
    <x v="1"/>
    <x v="1"/>
    <x v="4"/>
    <x v="22"/>
    <d v="2026-01-07T00:00:00"/>
    <d v="2026-01-11T00:00:00"/>
    <d v="2026-01-22T00:00:00"/>
    <x v="2"/>
    <n v="320285"/>
    <n v="617276"/>
    <n v="11"/>
    <x v="2"/>
    <n v="17"/>
  </r>
  <r>
    <s v="APP024"/>
    <s v="Karan"/>
    <x v="0"/>
    <n v="26"/>
    <s v="Manager"/>
    <x v="0"/>
    <x v="0"/>
    <x v="4"/>
    <x v="23"/>
    <d v="2026-01-19T00:00:00"/>
    <d v="2026-01-25T00:00:00"/>
    <m/>
    <x v="6"/>
    <n v="372397"/>
    <n v="822998"/>
    <n v="2"/>
    <x v="0"/>
    <s v=""/>
  </r>
  <r>
    <s v="APP025"/>
    <s v="Karan"/>
    <x v="1"/>
    <n v="31"/>
    <s v="Analyst"/>
    <x v="3"/>
    <x v="0"/>
    <x v="2"/>
    <x v="24"/>
    <d v="2026-06-19T00:00:00"/>
    <d v="2026-06-25T00:00:00"/>
    <d v="2026-07-04T00:00:00"/>
    <x v="2"/>
    <n v="844054"/>
    <n v="454276"/>
    <n v="11"/>
    <x v="0"/>
    <n v="21"/>
  </r>
  <r>
    <s v="APP026"/>
    <s v="Neha"/>
    <x v="1"/>
    <n v="28"/>
    <s v="Analyst"/>
    <x v="3"/>
    <x v="1"/>
    <x v="3"/>
    <x v="25"/>
    <d v="2026-03-15T00:00:00"/>
    <m/>
    <m/>
    <x v="4"/>
    <n v="825416"/>
    <m/>
    <n v="7"/>
    <x v="2"/>
    <s v=""/>
  </r>
  <r>
    <s v="APP027"/>
    <s v="Karan"/>
    <x v="0"/>
    <n v="30"/>
    <s v="HR Exec"/>
    <x v="1"/>
    <x v="1"/>
    <x v="0"/>
    <x v="13"/>
    <d v="2026-07-01T00:00:00"/>
    <m/>
    <m/>
    <x v="4"/>
    <n v="779977"/>
    <m/>
    <n v="10"/>
    <x v="1"/>
    <s v=""/>
  </r>
  <r>
    <s v="APP028"/>
    <s v="Karan"/>
    <x v="1"/>
    <n v="35"/>
    <s v="HR Exec"/>
    <x v="1"/>
    <x v="0"/>
    <x v="4"/>
    <x v="26"/>
    <d v="2026-05-05T00:00:00"/>
    <m/>
    <m/>
    <x v="1"/>
    <n v="445183"/>
    <m/>
    <n v="4"/>
    <x v="0"/>
    <s v=""/>
  </r>
  <r>
    <s v="APP029"/>
    <s v="Pooja"/>
    <x v="0"/>
    <n v="21"/>
    <s v="Manager"/>
    <x v="0"/>
    <x v="0"/>
    <x v="2"/>
    <x v="27"/>
    <d v="2026-05-11T00:00:00"/>
    <m/>
    <m/>
    <x v="3"/>
    <n v="445263"/>
    <m/>
    <n v="3"/>
    <x v="1"/>
    <s v=""/>
  </r>
  <r>
    <s v="APP030"/>
    <s v="Amit"/>
    <x v="1"/>
    <n v="39"/>
    <s v="Analyst"/>
    <x v="3"/>
    <x v="1"/>
    <x v="4"/>
    <x v="28"/>
    <d v="2026-02-27T00:00:00"/>
    <m/>
    <m/>
    <x v="0"/>
    <n v="612759"/>
    <m/>
    <n v="8"/>
    <x v="0"/>
    <s v=""/>
  </r>
  <r>
    <s v="APP031"/>
    <s v="Pooja"/>
    <x v="0"/>
    <n v="39"/>
    <s v="Analyst"/>
    <x v="3"/>
    <x v="2"/>
    <x v="4"/>
    <x v="29"/>
    <d v="2026-04-18T00:00:00"/>
    <m/>
    <m/>
    <x v="0"/>
    <n v="527215"/>
    <m/>
    <n v="5"/>
    <x v="2"/>
    <s v=""/>
  </r>
  <r>
    <s v="APP032"/>
    <s v="Amit"/>
    <x v="1"/>
    <n v="23"/>
    <s v="Developer"/>
    <x v="3"/>
    <x v="0"/>
    <x v="4"/>
    <x v="30"/>
    <d v="2026-05-30T00:00:00"/>
    <d v="2026-06-06T00:00:00"/>
    <m/>
    <x v="6"/>
    <n v="373903"/>
    <n v="833178"/>
    <n v="9"/>
    <x v="0"/>
    <s v=""/>
  </r>
  <r>
    <s v="APP033"/>
    <s v="Amit"/>
    <x v="0"/>
    <n v="22"/>
    <s v="Developer"/>
    <x v="3"/>
    <x v="2"/>
    <x v="3"/>
    <x v="31"/>
    <d v="2026-02-17T00:00:00"/>
    <m/>
    <m/>
    <x v="3"/>
    <n v="601564"/>
    <m/>
    <n v="1"/>
    <x v="0"/>
    <s v=""/>
  </r>
  <r>
    <s v="APP034"/>
    <s v="Neha"/>
    <x v="1"/>
    <n v="25"/>
    <s v="Accountant"/>
    <x v="2"/>
    <x v="0"/>
    <x v="2"/>
    <x v="32"/>
    <d v="2026-06-17T00:00:00"/>
    <m/>
    <m/>
    <x v="3"/>
    <n v="716518"/>
    <m/>
    <n v="10"/>
    <x v="2"/>
    <s v=""/>
  </r>
  <r>
    <s v="APP035"/>
    <s v="Anjali"/>
    <x v="1"/>
    <n v="28"/>
    <s v="Manager"/>
    <x v="0"/>
    <x v="0"/>
    <x v="4"/>
    <x v="27"/>
    <d v="2026-05-16T00:00:00"/>
    <m/>
    <m/>
    <x v="1"/>
    <n v="728217"/>
    <m/>
    <n v="3"/>
    <x v="2"/>
    <s v=""/>
  </r>
  <r>
    <s v="APP036"/>
    <s v="Sneha"/>
    <x v="0"/>
    <n v="25"/>
    <s v="Developer"/>
    <x v="3"/>
    <x v="3"/>
    <x v="3"/>
    <x v="16"/>
    <d v="2026-06-27T00:00:00"/>
    <d v="2026-07-03T00:00:00"/>
    <d v="2026-07-21T00:00:00"/>
    <x v="2"/>
    <n v="646808"/>
    <n v="825140"/>
    <n v="10"/>
    <x v="2"/>
    <n v="31"/>
  </r>
  <r>
    <s v="APP037"/>
    <s v="Vikas"/>
    <x v="1"/>
    <n v="25"/>
    <s v="Developer"/>
    <x v="3"/>
    <x v="1"/>
    <x v="4"/>
    <x v="33"/>
    <d v="2026-01-31T00:00:00"/>
    <d v="2026-02-05T00:00:00"/>
    <m/>
    <x v="6"/>
    <n v="643439"/>
    <n v="423111"/>
    <n v="3"/>
    <x v="1"/>
    <s v=""/>
  </r>
  <r>
    <s v="APP038"/>
    <s v="Neha"/>
    <x v="1"/>
    <n v="30"/>
    <s v="Accountant"/>
    <x v="2"/>
    <x v="0"/>
    <x v="1"/>
    <x v="34"/>
    <d v="2026-05-30T00:00:00"/>
    <d v="2026-06-04T00:00:00"/>
    <d v="2026-06-13T00:00:00"/>
    <x v="2"/>
    <n v="379514"/>
    <n v="532032"/>
    <n v="8"/>
    <x v="1"/>
    <n v="16"/>
  </r>
  <r>
    <s v="APP039"/>
    <s v="Rohit"/>
    <x v="1"/>
    <n v="26"/>
    <s v="Manager"/>
    <x v="0"/>
    <x v="1"/>
    <x v="0"/>
    <x v="35"/>
    <d v="2026-05-03T00:00:00"/>
    <m/>
    <m/>
    <x v="3"/>
    <n v="429422"/>
    <m/>
    <n v="1"/>
    <x v="2"/>
    <s v=""/>
  </r>
  <r>
    <s v="APP040"/>
    <s v="Vikas"/>
    <x v="1"/>
    <n v="35"/>
    <s v="Developer"/>
    <x v="3"/>
    <x v="2"/>
    <x v="0"/>
    <x v="36"/>
    <d v="2026-06-17T00:00:00"/>
    <m/>
    <m/>
    <x v="4"/>
    <n v="766864"/>
    <m/>
    <n v="4"/>
    <x v="1"/>
    <s v=""/>
  </r>
  <r>
    <s v="APP041"/>
    <s v="Rahul"/>
    <x v="0"/>
    <n v="33"/>
    <s v="HR Exec"/>
    <x v="1"/>
    <x v="0"/>
    <x v="2"/>
    <x v="8"/>
    <d v="2026-02-08T00:00:00"/>
    <m/>
    <m/>
    <x v="0"/>
    <n v="489008"/>
    <m/>
    <n v="4"/>
    <x v="2"/>
    <s v=""/>
  </r>
  <r>
    <s v="APP042"/>
    <s v="Priya"/>
    <x v="1"/>
    <n v="29"/>
    <s v="HR Exec"/>
    <x v="1"/>
    <x v="3"/>
    <x v="3"/>
    <x v="37"/>
    <d v="2026-07-01T00:00:00"/>
    <m/>
    <m/>
    <x v="5"/>
    <n v="548134"/>
    <m/>
    <n v="6"/>
    <x v="0"/>
    <s v=""/>
  </r>
  <r>
    <s v="APP043"/>
    <s v="Rahul"/>
    <x v="1"/>
    <n v="36"/>
    <s v="Manager"/>
    <x v="0"/>
    <x v="3"/>
    <x v="1"/>
    <x v="26"/>
    <d v="2026-05-02T00:00:00"/>
    <m/>
    <m/>
    <x v="5"/>
    <n v="413547"/>
    <m/>
    <n v="9"/>
    <x v="1"/>
    <s v=""/>
  </r>
  <r>
    <s v="APP044"/>
    <s v="Vikas"/>
    <x v="0"/>
    <n v="33"/>
    <s v="Analyst"/>
    <x v="3"/>
    <x v="3"/>
    <x v="4"/>
    <x v="38"/>
    <d v="2026-04-26T00:00:00"/>
    <m/>
    <m/>
    <x v="3"/>
    <n v="409639"/>
    <m/>
    <n v="10"/>
    <x v="1"/>
    <s v=""/>
  </r>
  <r>
    <s v="APP045"/>
    <s v="Anjali"/>
    <x v="1"/>
    <n v="35"/>
    <s v="Accountant"/>
    <x v="2"/>
    <x v="2"/>
    <x v="2"/>
    <x v="39"/>
    <d v="2026-05-21T00:00:00"/>
    <d v="2026-05-28T00:00:00"/>
    <m/>
    <x v="6"/>
    <n v="767689"/>
    <n v="423120"/>
    <n v="2"/>
    <x v="0"/>
    <s v=""/>
  </r>
  <r>
    <s v="APP046"/>
    <s v="Sneha"/>
    <x v="1"/>
    <n v="27"/>
    <s v="Developer"/>
    <x v="3"/>
    <x v="2"/>
    <x v="2"/>
    <x v="40"/>
    <d v="2026-02-20T00:00:00"/>
    <m/>
    <m/>
    <x v="0"/>
    <n v="375880"/>
    <m/>
    <n v="5"/>
    <x v="2"/>
    <s v=""/>
  </r>
  <r>
    <s v="APP047"/>
    <s v="Rohit"/>
    <x v="0"/>
    <n v="24"/>
    <s v="HR Exec"/>
    <x v="1"/>
    <x v="1"/>
    <x v="1"/>
    <x v="41"/>
    <d v="2026-04-06T00:00:00"/>
    <m/>
    <m/>
    <x v="3"/>
    <n v="841514"/>
    <m/>
    <n v="12"/>
    <x v="2"/>
    <s v=""/>
  </r>
  <r>
    <s v="APP048"/>
    <s v="Amit"/>
    <x v="1"/>
    <n v="39"/>
    <s v="HR Exec"/>
    <x v="1"/>
    <x v="0"/>
    <x v="4"/>
    <x v="0"/>
    <d v="2026-01-19T00:00:00"/>
    <m/>
    <m/>
    <x v="3"/>
    <n v="781919"/>
    <m/>
    <n v="6"/>
    <x v="2"/>
    <s v=""/>
  </r>
  <r>
    <s v="APP049"/>
    <s v="Amit"/>
    <x v="1"/>
    <n v="22"/>
    <s v="Developer"/>
    <x v="3"/>
    <x v="3"/>
    <x v="3"/>
    <x v="42"/>
    <d v="2026-03-31T00:00:00"/>
    <d v="2026-04-05T00:00:00"/>
    <m/>
    <x v="6"/>
    <n v="802746"/>
    <n v="825292"/>
    <n v="5"/>
    <x v="1"/>
    <s v=""/>
  </r>
  <r>
    <s v="APP050"/>
    <s v="Amit"/>
    <x v="1"/>
    <n v="28"/>
    <s v="Accountant"/>
    <x v="2"/>
    <x v="0"/>
    <x v="4"/>
    <x v="43"/>
    <d v="2026-05-07T00:00:00"/>
    <m/>
    <m/>
    <x v="0"/>
    <n v="406790"/>
    <m/>
    <n v="4"/>
    <x v="0"/>
    <s v=""/>
  </r>
  <r>
    <s v="APP051"/>
    <s v="Neha"/>
    <x v="1"/>
    <n v="31"/>
    <s v="Manager"/>
    <x v="0"/>
    <x v="2"/>
    <x v="4"/>
    <x v="44"/>
    <d v="2026-03-07T00:00:00"/>
    <d v="2026-03-14T00:00:00"/>
    <m/>
    <x v="6"/>
    <n v="332217"/>
    <n v="919717"/>
    <n v="4"/>
    <x v="0"/>
    <s v=""/>
  </r>
  <r>
    <s v="APP052"/>
    <s v="Karan"/>
    <x v="0"/>
    <n v="23"/>
    <s v="Analyst"/>
    <x v="3"/>
    <x v="3"/>
    <x v="0"/>
    <x v="42"/>
    <d v="2026-04-04T00:00:00"/>
    <m/>
    <m/>
    <x v="1"/>
    <n v="678001"/>
    <m/>
    <n v="1"/>
    <x v="1"/>
    <s v=""/>
  </r>
  <r>
    <s v="APP053"/>
    <s v="Vikas"/>
    <x v="1"/>
    <n v="39"/>
    <s v="Accountant"/>
    <x v="2"/>
    <x v="0"/>
    <x v="2"/>
    <x v="35"/>
    <d v="2026-05-03T00:00:00"/>
    <m/>
    <m/>
    <x v="4"/>
    <n v="564619"/>
    <m/>
    <n v="6"/>
    <x v="2"/>
    <s v=""/>
  </r>
  <r>
    <s v="APP054"/>
    <s v="Neha"/>
    <x v="0"/>
    <n v="23"/>
    <s v="Manager"/>
    <x v="0"/>
    <x v="0"/>
    <x v="0"/>
    <x v="45"/>
    <d v="2026-03-22T00:00:00"/>
    <m/>
    <m/>
    <x v="5"/>
    <n v="626427"/>
    <m/>
    <n v="12"/>
    <x v="2"/>
    <s v=""/>
  </r>
  <r>
    <s v="APP055"/>
    <s v="Pooja"/>
    <x v="1"/>
    <n v="28"/>
    <s v="Accountant"/>
    <x v="2"/>
    <x v="1"/>
    <x v="4"/>
    <x v="46"/>
    <d v="2026-03-06T00:00:00"/>
    <m/>
    <m/>
    <x v="4"/>
    <n v="323733"/>
    <m/>
    <n v="5"/>
    <x v="0"/>
    <s v=""/>
  </r>
  <r>
    <s v="APP056"/>
    <s v="Pooja"/>
    <x v="0"/>
    <n v="27"/>
    <s v="Analyst"/>
    <x v="3"/>
    <x v="2"/>
    <x v="3"/>
    <x v="47"/>
    <d v="2026-04-12T00:00:00"/>
    <m/>
    <m/>
    <x v="1"/>
    <n v="481387"/>
    <m/>
    <n v="8"/>
    <x v="0"/>
    <s v=""/>
  </r>
  <r>
    <s v="APP057"/>
    <s v="Sneha"/>
    <x v="1"/>
    <n v="25"/>
    <s v="HR Exec"/>
    <x v="1"/>
    <x v="2"/>
    <x v="3"/>
    <x v="48"/>
    <d v="2026-06-13T00:00:00"/>
    <m/>
    <m/>
    <x v="5"/>
    <n v="767097"/>
    <m/>
    <n v="8"/>
    <x v="0"/>
    <s v=""/>
  </r>
  <r>
    <s v="APP058"/>
    <s v="Karan"/>
    <x v="0"/>
    <n v="31"/>
    <s v="Analyst"/>
    <x v="3"/>
    <x v="0"/>
    <x v="1"/>
    <x v="30"/>
    <d v="2026-05-29T00:00:00"/>
    <m/>
    <m/>
    <x v="3"/>
    <n v="601775"/>
    <m/>
    <n v="12"/>
    <x v="2"/>
    <s v=""/>
  </r>
  <r>
    <s v="APP059"/>
    <s v="Anjali"/>
    <x v="0"/>
    <n v="29"/>
    <s v="Analyst"/>
    <x v="3"/>
    <x v="1"/>
    <x v="2"/>
    <x v="3"/>
    <d v="2026-05-10T00:00:00"/>
    <d v="2026-05-14T00:00:00"/>
    <m/>
    <x v="6"/>
    <n v="841072"/>
    <n v="748996"/>
    <n v="11"/>
    <x v="2"/>
    <s v=""/>
  </r>
  <r>
    <s v="APP060"/>
    <s v="Priya"/>
    <x v="0"/>
    <n v="30"/>
    <s v="Accountant"/>
    <x v="2"/>
    <x v="2"/>
    <x v="3"/>
    <x v="49"/>
    <d v="2026-03-23T00:00:00"/>
    <m/>
    <m/>
    <x v="1"/>
    <n v="355215"/>
    <m/>
    <n v="2"/>
    <x v="1"/>
    <s v=""/>
  </r>
  <r>
    <s v="APP061"/>
    <s v="Pooja"/>
    <x v="1"/>
    <n v="34"/>
    <s v="Manager"/>
    <x v="0"/>
    <x v="3"/>
    <x v="3"/>
    <x v="50"/>
    <d v="2026-05-29T00:00:00"/>
    <m/>
    <m/>
    <x v="0"/>
    <n v="612563"/>
    <m/>
    <n v="12"/>
    <x v="2"/>
    <s v=""/>
  </r>
  <r>
    <s v="APP062"/>
    <s v="Sneha"/>
    <x v="0"/>
    <n v="36"/>
    <s v="Accountant"/>
    <x v="2"/>
    <x v="1"/>
    <x v="3"/>
    <x v="38"/>
    <d v="2026-04-26T00:00:00"/>
    <m/>
    <m/>
    <x v="3"/>
    <n v="315035"/>
    <m/>
    <n v="8"/>
    <x v="2"/>
    <s v=""/>
  </r>
  <r>
    <s v="APP063"/>
    <s v="Vikas"/>
    <x v="1"/>
    <n v="27"/>
    <s v="Manager"/>
    <x v="0"/>
    <x v="2"/>
    <x v="4"/>
    <x v="51"/>
    <d v="2026-02-28T00:00:00"/>
    <m/>
    <m/>
    <x v="1"/>
    <n v="321363"/>
    <m/>
    <n v="7"/>
    <x v="2"/>
    <s v=""/>
  </r>
  <r>
    <s v="APP064"/>
    <s v="Amit"/>
    <x v="1"/>
    <n v="22"/>
    <s v="Accountant"/>
    <x v="2"/>
    <x v="1"/>
    <x v="1"/>
    <x v="52"/>
    <d v="2026-03-12T00:00:00"/>
    <m/>
    <m/>
    <x v="3"/>
    <n v="811185"/>
    <m/>
    <n v="4"/>
    <x v="2"/>
    <s v=""/>
  </r>
  <r>
    <s v="APP065"/>
    <s v="Anjali"/>
    <x v="1"/>
    <n v="30"/>
    <s v="Manager"/>
    <x v="0"/>
    <x v="2"/>
    <x v="0"/>
    <x v="53"/>
    <d v="2026-06-20T00:00:00"/>
    <m/>
    <m/>
    <x v="1"/>
    <n v="533912"/>
    <m/>
    <n v="4"/>
    <x v="1"/>
    <s v=""/>
  </r>
  <r>
    <s v="APP066"/>
    <s v="Rohit"/>
    <x v="1"/>
    <n v="40"/>
    <s v="Manager"/>
    <x v="0"/>
    <x v="0"/>
    <x v="4"/>
    <x v="54"/>
    <d v="2026-02-09T00:00:00"/>
    <m/>
    <m/>
    <x v="5"/>
    <n v="612210"/>
    <m/>
    <n v="6"/>
    <x v="0"/>
    <s v=""/>
  </r>
  <r>
    <s v="APP067"/>
    <s v="Neha"/>
    <x v="0"/>
    <n v="32"/>
    <s v="Manager"/>
    <x v="0"/>
    <x v="2"/>
    <x v="3"/>
    <x v="49"/>
    <d v="2026-03-16T00:00:00"/>
    <m/>
    <m/>
    <x v="1"/>
    <n v="802871"/>
    <m/>
    <n v="7"/>
    <x v="1"/>
    <s v=""/>
  </r>
  <r>
    <s v="APP068"/>
    <s v="Rohit"/>
    <x v="0"/>
    <n v="25"/>
    <s v="Analyst"/>
    <x v="3"/>
    <x v="2"/>
    <x v="3"/>
    <x v="55"/>
    <d v="2026-02-09T00:00:00"/>
    <m/>
    <m/>
    <x v="0"/>
    <n v="480550"/>
    <m/>
    <n v="6"/>
    <x v="2"/>
    <s v=""/>
  </r>
  <r>
    <s v="APP069"/>
    <s v="Anjali"/>
    <x v="0"/>
    <n v="22"/>
    <s v="Developer"/>
    <x v="3"/>
    <x v="3"/>
    <x v="4"/>
    <x v="56"/>
    <d v="2026-05-23T00:00:00"/>
    <d v="2026-05-30T00:00:00"/>
    <d v="2026-06-14T00:00:00"/>
    <x v="2"/>
    <n v="737478"/>
    <n v="337570"/>
    <n v="8"/>
    <x v="2"/>
    <n v="27"/>
  </r>
  <r>
    <s v="APP070"/>
    <s v="Karan"/>
    <x v="1"/>
    <n v="34"/>
    <s v="HR Exec"/>
    <x v="1"/>
    <x v="1"/>
    <x v="4"/>
    <x v="57"/>
    <d v="2026-03-21T00:00:00"/>
    <m/>
    <m/>
    <x v="5"/>
    <n v="345371"/>
    <m/>
    <n v="9"/>
    <x v="2"/>
    <s v=""/>
  </r>
  <r>
    <s v="APP071"/>
    <s v="Sneha"/>
    <x v="0"/>
    <n v="31"/>
    <s v="Developer"/>
    <x v="3"/>
    <x v="0"/>
    <x v="1"/>
    <x v="30"/>
    <d v="2026-05-28T00:00:00"/>
    <d v="2026-06-02T00:00:00"/>
    <d v="2026-06-21T00:00:00"/>
    <x v="2"/>
    <n v="745124"/>
    <n v="922676"/>
    <n v="8"/>
    <x v="0"/>
    <n v="27"/>
  </r>
  <r>
    <s v="APP072"/>
    <s v="Neha"/>
    <x v="0"/>
    <n v="31"/>
    <s v="HR Exec"/>
    <x v="1"/>
    <x v="0"/>
    <x v="2"/>
    <x v="58"/>
    <d v="2026-06-20T00:00:00"/>
    <m/>
    <m/>
    <x v="5"/>
    <n v="612039"/>
    <m/>
    <n v="1"/>
    <x v="1"/>
    <s v=""/>
  </r>
  <r>
    <s v="APP073"/>
    <s v="Anjali"/>
    <x v="1"/>
    <n v="26"/>
    <s v="HR Exec"/>
    <x v="1"/>
    <x v="3"/>
    <x v="3"/>
    <x v="59"/>
    <d v="2026-01-11T00:00:00"/>
    <m/>
    <m/>
    <x v="1"/>
    <n v="602637"/>
    <m/>
    <n v="3"/>
    <x v="1"/>
    <s v=""/>
  </r>
  <r>
    <s v="APP074"/>
    <s v="Rohit"/>
    <x v="0"/>
    <n v="36"/>
    <s v="HR Exec"/>
    <x v="1"/>
    <x v="0"/>
    <x v="3"/>
    <x v="60"/>
    <d v="2026-06-11T00:00:00"/>
    <m/>
    <m/>
    <x v="0"/>
    <n v="476105"/>
    <m/>
    <n v="7"/>
    <x v="0"/>
    <s v=""/>
  </r>
  <r>
    <s v="APP075"/>
    <s v="Rahul"/>
    <x v="1"/>
    <n v="29"/>
    <s v="Analyst"/>
    <x v="3"/>
    <x v="0"/>
    <x v="1"/>
    <x v="61"/>
    <d v="2026-05-04T00:00:00"/>
    <d v="2026-05-11T00:00:00"/>
    <d v="2026-05-29T00:00:00"/>
    <x v="2"/>
    <n v="818700"/>
    <n v="332592"/>
    <n v="10"/>
    <x v="0"/>
    <n v="33"/>
  </r>
  <r>
    <s v="APP076"/>
    <s v="Vikas"/>
    <x v="1"/>
    <n v="37"/>
    <s v="Accountant"/>
    <x v="2"/>
    <x v="2"/>
    <x v="2"/>
    <x v="10"/>
    <d v="2026-05-12T00:00:00"/>
    <m/>
    <m/>
    <x v="4"/>
    <n v="864509"/>
    <m/>
    <n v="3"/>
    <x v="0"/>
    <s v=""/>
  </r>
  <r>
    <s v="APP077"/>
    <s v="Amit"/>
    <x v="0"/>
    <n v="33"/>
    <s v="HR Exec"/>
    <x v="1"/>
    <x v="2"/>
    <x v="2"/>
    <x v="7"/>
    <d v="2026-04-24T00:00:00"/>
    <m/>
    <m/>
    <x v="0"/>
    <n v="489925"/>
    <m/>
    <n v="4"/>
    <x v="0"/>
    <s v=""/>
  </r>
  <r>
    <s v="APP078"/>
    <s v="Amit"/>
    <x v="0"/>
    <n v="25"/>
    <s v="Analyst"/>
    <x v="3"/>
    <x v="1"/>
    <x v="1"/>
    <x v="62"/>
    <d v="2026-01-15T00:00:00"/>
    <d v="2026-01-17T00:00:00"/>
    <d v="2026-01-28T00:00:00"/>
    <x v="2"/>
    <n v="859428"/>
    <n v="510630"/>
    <n v="1"/>
    <x v="0"/>
    <n v="22"/>
  </r>
  <r>
    <s v="APP079"/>
    <s v="Karan"/>
    <x v="1"/>
    <n v="37"/>
    <s v="Accountant"/>
    <x v="2"/>
    <x v="0"/>
    <x v="1"/>
    <x v="63"/>
    <d v="2026-03-31T00:00:00"/>
    <d v="2026-04-05T00:00:00"/>
    <m/>
    <x v="6"/>
    <n v="710084"/>
    <n v="645365"/>
    <n v="10"/>
    <x v="0"/>
    <s v=""/>
  </r>
  <r>
    <s v="APP080"/>
    <s v="Sneha"/>
    <x v="1"/>
    <n v="39"/>
    <s v="Accountant"/>
    <x v="2"/>
    <x v="3"/>
    <x v="3"/>
    <x v="64"/>
    <d v="2026-02-24T00:00:00"/>
    <d v="2026-03-03T00:00:00"/>
    <m/>
    <x v="6"/>
    <n v="304794"/>
    <n v="896804"/>
    <n v="9"/>
    <x v="1"/>
    <s v=""/>
  </r>
  <r>
    <s v="APP081"/>
    <s v="Priya"/>
    <x v="1"/>
    <n v="37"/>
    <s v="Accountant"/>
    <x v="2"/>
    <x v="2"/>
    <x v="3"/>
    <x v="65"/>
    <d v="2026-06-22T00:00:00"/>
    <m/>
    <m/>
    <x v="5"/>
    <n v="876897"/>
    <m/>
    <n v="1"/>
    <x v="0"/>
    <s v=""/>
  </r>
  <r>
    <s v="APP082"/>
    <s v="Karan"/>
    <x v="1"/>
    <n v="36"/>
    <s v="HR Exec"/>
    <x v="1"/>
    <x v="0"/>
    <x v="0"/>
    <x v="66"/>
    <d v="2026-05-29T00:00:00"/>
    <m/>
    <m/>
    <x v="0"/>
    <n v="700759"/>
    <m/>
    <n v="7"/>
    <x v="0"/>
    <s v=""/>
  </r>
  <r>
    <s v="APP083"/>
    <s v="Anjali"/>
    <x v="0"/>
    <n v="21"/>
    <s v="Developer"/>
    <x v="3"/>
    <x v="1"/>
    <x v="1"/>
    <x v="45"/>
    <d v="2026-03-22T00:00:00"/>
    <d v="2026-03-24T00:00:00"/>
    <d v="2026-04-02T00:00:00"/>
    <x v="2"/>
    <n v="838959"/>
    <n v="471940"/>
    <n v="10"/>
    <x v="1"/>
    <n v="15"/>
  </r>
  <r>
    <s v="APP084"/>
    <s v="Vikas"/>
    <x v="1"/>
    <n v="33"/>
    <s v="HR Exec"/>
    <x v="1"/>
    <x v="3"/>
    <x v="4"/>
    <x v="67"/>
    <d v="2026-05-31T00:00:00"/>
    <d v="2026-06-06T00:00:00"/>
    <m/>
    <x v="6"/>
    <n v="455939"/>
    <n v="828185"/>
    <n v="6"/>
    <x v="1"/>
    <s v=""/>
  </r>
  <r>
    <s v="APP085"/>
    <s v="Amit"/>
    <x v="0"/>
    <n v="21"/>
    <s v="Analyst"/>
    <x v="3"/>
    <x v="1"/>
    <x v="1"/>
    <x v="68"/>
    <d v="2026-03-22T00:00:00"/>
    <m/>
    <m/>
    <x v="1"/>
    <n v="602932"/>
    <m/>
    <n v="6"/>
    <x v="1"/>
    <s v=""/>
  </r>
  <r>
    <s v="APP086"/>
    <s v="Anjali"/>
    <x v="1"/>
    <n v="32"/>
    <s v="Developer"/>
    <x v="3"/>
    <x v="3"/>
    <x v="2"/>
    <x v="69"/>
    <d v="2026-01-15T00:00:00"/>
    <m/>
    <m/>
    <x v="0"/>
    <n v="477965"/>
    <m/>
    <n v="10"/>
    <x v="2"/>
    <s v=""/>
  </r>
  <r>
    <s v="APP087"/>
    <s v="Pooja"/>
    <x v="1"/>
    <n v="29"/>
    <s v="HR Exec"/>
    <x v="1"/>
    <x v="1"/>
    <x v="1"/>
    <x v="70"/>
    <d v="2026-05-27T00:00:00"/>
    <d v="2026-05-31T00:00:00"/>
    <m/>
    <x v="6"/>
    <n v="823573"/>
    <n v="921562"/>
    <n v="9"/>
    <x v="1"/>
    <s v=""/>
  </r>
  <r>
    <s v="APP088"/>
    <s v="Anjali"/>
    <x v="1"/>
    <n v="22"/>
    <s v="HR Exec"/>
    <x v="1"/>
    <x v="2"/>
    <x v="4"/>
    <x v="71"/>
    <d v="2026-03-16T00:00:00"/>
    <m/>
    <m/>
    <x v="5"/>
    <n v="747667"/>
    <m/>
    <n v="10"/>
    <x v="2"/>
    <s v=""/>
  </r>
  <r>
    <s v="APP089"/>
    <s v="Sneha"/>
    <x v="0"/>
    <n v="34"/>
    <s v="Manager"/>
    <x v="0"/>
    <x v="0"/>
    <x v="4"/>
    <x v="72"/>
    <d v="2026-04-02T00:00:00"/>
    <m/>
    <m/>
    <x v="0"/>
    <n v="391369"/>
    <m/>
    <n v="6"/>
    <x v="2"/>
    <s v=""/>
  </r>
  <r>
    <s v="APP090"/>
    <s v="Rohit"/>
    <x v="1"/>
    <n v="40"/>
    <s v="Manager"/>
    <x v="0"/>
    <x v="1"/>
    <x v="0"/>
    <x v="73"/>
    <d v="2026-05-17T00:00:00"/>
    <m/>
    <m/>
    <x v="1"/>
    <n v="433895"/>
    <m/>
    <n v="6"/>
    <x v="2"/>
    <s v=""/>
  </r>
  <r>
    <s v="APP091"/>
    <s v="Karan"/>
    <x v="0"/>
    <n v="30"/>
    <s v="Developer"/>
    <x v="3"/>
    <x v="3"/>
    <x v="4"/>
    <x v="74"/>
    <d v="2026-01-16T00:00:00"/>
    <d v="2026-01-23T00:00:00"/>
    <d v="2026-02-02T00:00:00"/>
    <x v="2"/>
    <n v="557149"/>
    <n v="388094"/>
    <n v="8"/>
    <x v="2"/>
    <n v="24"/>
  </r>
  <r>
    <s v="APP092"/>
    <s v="Pooja"/>
    <x v="0"/>
    <n v="34"/>
    <s v="Developer"/>
    <x v="3"/>
    <x v="1"/>
    <x v="3"/>
    <x v="75"/>
    <d v="2026-01-26T00:00:00"/>
    <m/>
    <m/>
    <x v="3"/>
    <n v="450068"/>
    <m/>
    <n v="3"/>
    <x v="1"/>
    <s v=""/>
  </r>
  <r>
    <s v="APP093"/>
    <s v="Pooja"/>
    <x v="0"/>
    <n v="37"/>
    <s v="Analyst"/>
    <x v="3"/>
    <x v="2"/>
    <x v="0"/>
    <x v="76"/>
    <d v="2026-06-03T00:00:00"/>
    <d v="2026-06-10T00:00:00"/>
    <m/>
    <x v="6"/>
    <n v="468768"/>
    <n v="748572"/>
    <n v="5"/>
    <x v="0"/>
    <s v=""/>
  </r>
  <r>
    <s v="APP094"/>
    <s v="Rahul"/>
    <x v="1"/>
    <n v="25"/>
    <s v="Analyst"/>
    <x v="3"/>
    <x v="0"/>
    <x v="3"/>
    <x v="46"/>
    <d v="2026-03-12T00:00:00"/>
    <m/>
    <m/>
    <x v="5"/>
    <n v="846935"/>
    <m/>
    <n v="3"/>
    <x v="0"/>
    <s v=""/>
  </r>
  <r>
    <s v="APP095"/>
    <s v="Rohit"/>
    <x v="1"/>
    <n v="36"/>
    <s v="Analyst"/>
    <x v="3"/>
    <x v="2"/>
    <x v="2"/>
    <x v="77"/>
    <d v="2026-02-24T00:00:00"/>
    <m/>
    <m/>
    <x v="5"/>
    <n v="879145"/>
    <m/>
    <n v="5"/>
    <x v="1"/>
    <s v=""/>
  </r>
  <r>
    <s v="APP096"/>
    <s v="Priya"/>
    <x v="1"/>
    <n v="37"/>
    <s v="Manager"/>
    <x v="0"/>
    <x v="3"/>
    <x v="1"/>
    <x v="78"/>
    <d v="2026-05-12T00:00:00"/>
    <m/>
    <m/>
    <x v="4"/>
    <n v="676636"/>
    <m/>
    <n v="7"/>
    <x v="0"/>
    <s v=""/>
  </r>
  <r>
    <s v="APP097"/>
    <s v="Neha"/>
    <x v="0"/>
    <n v="32"/>
    <s v="HR Exec"/>
    <x v="1"/>
    <x v="3"/>
    <x v="2"/>
    <x v="43"/>
    <d v="2026-05-02T00:00:00"/>
    <m/>
    <m/>
    <x v="5"/>
    <n v="588268"/>
    <m/>
    <n v="4"/>
    <x v="1"/>
    <s v=""/>
  </r>
  <r>
    <s v="APP098"/>
    <s v="Priya"/>
    <x v="1"/>
    <n v="31"/>
    <s v="Analyst"/>
    <x v="3"/>
    <x v="3"/>
    <x v="4"/>
    <x v="51"/>
    <d v="2026-03-06T00:00:00"/>
    <m/>
    <m/>
    <x v="3"/>
    <n v="788762"/>
    <m/>
    <n v="6"/>
    <x v="2"/>
    <s v=""/>
  </r>
  <r>
    <s v="APP099"/>
    <s v="Sneha"/>
    <x v="1"/>
    <n v="24"/>
    <s v="Analyst"/>
    <x v="3"/>
    <x v="2"/>
    <x v="1"/>
    <x v="79"/>
    <d v="2026-02-12T00:00:00"/>
    <m/>
    <m/>
    <x v="3"/>
    <n v="767398"/>
    <m/>
    <n v="12"/>
    <x v="0"/>
    <s v=""/>
  </r>
  <r>
    <s v="APP100"/>
    <s v="Sneha"/>
    <x v="1"/>
    <n v="31"/>
    <s v="Manager"/>
    <x v="0"/>
    <x v="3"/>
    <x v="0"/>
    <x v="80"/>
    <d v="2026-03-29T00:00:00"/>
    <d v="2026-04-05T00:00:00"/>
    <d v="2026-04-19T00:00:00"/>
    <x v="2"/>
    <n v="444354"/>
    <n v="494261"/>
    <n v="10"/>
    <x v="2"/>
    <n v="28"/>
  </r>
  <r>
    <s v="APP101"/>
    <s v="Sneha"/>
    <x v="1"/>
    <n v="26"/>
    <s v="Accountant"/>
    <x v="2"/>
    <x v="3"/>
    <x v="3"/>
    <x v="81"/>
    <d v="2026-01-28T00:00:00"/>
    <m/>
    <m/>
    <x v="5"/>
    <n v="398688"/>
    <m/>
    <n v="3"/>
    <x v="0"/>
    <s v=""/>
  </r>
  <r>
    <s v="APP102"/>
    <s v="Rahul"/>
    <x v="0"/>
    <n v="31"/>
    <s v="HR Exec"/>
    <x v="1"/>
    <x v="3"/>
    <x v="3"/>
    <x v="82"/>
    <d v="2026-01-27T00:00:00"/>
    <d v="2026-01-31T00:00:00"/>
    <d v="2026-02-05T00:00:00"/>
    <x v="2"/>
    <n v="476846"/>
    <n v="653529"/>
    <n v="9"/>
    <x v="0"/>
    <n v="16"/>
  </r>
  <r>
    <s v="APP103"/>
    <s v="Sneha"/>
    <x v="1"/>
    <n v="33"/>
    <s v="Developer"/>
    <x v="3"/>
    <x v="0"/>
    <x v="4"/>
    <x v="56"/>
    <d v="2026-05-22T00:00:00"/>
    <m/>
    <m/>
    <x v="1"/>
    <n v="500484"/>
    <m/>
    <n v="11"/>
    <x v="2"/>
    <s v=""/>
  </r>
  <r>
    <s v="APP104"/>
    <s v="Anjali"/>
    <x v="1"/>
    <n v="30"/>
    <s v="HR Exec"/>
    <x v="1"/>
    <x v="0"/>
    <x v="0"/>
    <x v="10"/>
    <d v="2026-05-10T00:00:00"/>
    <d v="2026-05-12T00:00:00"/>
    <m/>
    <x v="6"/>
    <n v="310673"/>
    <n v="320381"/>
    <n v="2"/>
    <x v="1"/>
    <s v=""/>
  </r>
  <r>
    <s v="APP105"/>
    <s v="Sneha"/>
    <x v="1"/>
    <n v="21"/>
    <s v="HR Exec"/>
    <x v="1"/>
    <x v="2"/>
    <x v="3"/>
    <x v="83"/>
    <d v="2026-04-23T00:00:00"/>
    <m/>
    <m/>
    <x v="4"/>
    <n v="651545"/>
    <m/>
    <n v="2"/>
    <x v="1"/>
    <s v=""/>
  </r>
  <r>
    <s v="APP106"/>
    <s v="Anjali"/>
    <x v="0"/>
    <n v="22"/>
    <s v="Accountant"/>
    <x v="2"/>
    <x v="0"/>
    <x v="4"/>
    <x v="19"/>
    <d v="2026-02-04T00:00:00"/>
    <m/>
    <m/>
    <x v="5"/>
    <n v="379862"/>
    <m/>
    <n v="11"/>
    <x v="0"/>
    <s v=""/>
  </r>
  <r>
    <s v="APP107"/>
    <s v="Priya"/>
    <x v="0"/>
    <n v="37"/>
    <s v="Accountant"/>
    <x v="2"/>
    <x v="2"/>
    <x v="3"/>
    <x v="13"/>
    <d v="2026-06-30T00:00:00"/>
    <m/>
    <m/>
    <x v="5"/>
    <n v="776099"/>
    <m/>
    <n v="1"/>
    <x v="0"/>
    <s v=""/>
  </r>
  <r>
    <s v="APP108"/>
    <s v="Priya"/>
    <x v="1"/>
    <n v="23"/>
    <s v="Analyst"/>
    <x v="3"/>
    <x v="2"/>
    <x v="4"/>
    <x v="44"/>
    <d v="2026-03-09T00:00:00"/>
    <m/>
    <m/>
    <x v="4"/>
    <n v="828744"/>
    <m/>
    <n v="4"/>
    <x v="2"/>
    <s v=""/>
  </r>
  <r>
    <s v="APP109"/>
    <s v="Priya"/>
    <x v="0"/>
    <n v="39"/>
    <s v="Developer"/>
    <x v="3"/>
    <x v="2"/>
    <x v="2"/>
    <x v="20"/>
    <d v="2026-02-14T00:00:00"/>
    <m/>
    <m/>
    <x v="1"/>
    <n v="810659"/>
    <m/>
    <n v="12"/>
    <x v="1"/>
    <s v=""/>
  </r>
  <r>
    <s v="APP110"/>
    <s v="Pooja"/>
    <x v="0"/>
    <n v="40"/>
    <s v="HR Exec"/>
    <x v="1"/>
    <x v="2"/>
    <x v="3"/>
    <x v="84"/>
    <d v="2026-03-17T00:00:00"/>
    <d v="2026-03-21T00:00:00"/>
    <m/>
    <x v="6"/>
    <n v="643369"/>
    <n v="585503"/>
    <n v="12"/>
    <x v="1"/>
    <s v=""/>
  </r>
  <r>
    <s v="APP111"/>
    <s v="Neha"/>
    <x v="1"/>
    <n v="33"/>
    <s v="Analyst"/>
    <x v="3"/>
    <x v="2"/>
    <x v="4"/>
    <x v="76"/>
    <d v="2026-06-02T00:00:00"/>
    <m/>
    <m/>
    <x v="1"/>
    <n v="628606"/>
    <m/>
    <n v="2"/>
    <x v="0"/>
    <s v=""/>
  </r>
  <r>
    <s v="APP112"/>
    <s v="Amit"/>
    <x v="0"/>
    <n v="37"/>
    <s v="HR Exec"/>
    <x v="1"/>
    <x v="2"/>
    <x v="4"/>
    <x v="85"/>
    <d v="2026-07-09T00:00:00"/>
    <d v="2026-07-15T00:00:00"/>
    <m/>
    <x v="6"/>
    <n v="706574"/>
    <n v="662769"/>
    <n v="3"/>
    <x v="2"/>
    <s v=""/>
  </r>
  <r>
    <s v="APP113"/>
    <s v="Rahul"/>
    <x v="1"/>
    <n v="31"/>
    <s v="Manager"/>
    <x v="0"/>
    <x v="1"/>
    <x v="2"/>
    <x v="86"/>
    <d v="2026-03-25T00:00:00"/>
    <m/>
    <m/>
    <x v="5"/>
    <n v="585818"/>
    <m/>
    <n v="8"/>
    <x v="2"/>
    <s v=""/>
  </r>
  <r>
    <s v="APP114"/>
    <s v="Priya"/>
    <x v="0"/>
    <n v="35"/>
    <s v="Manager"/>
    <x v="0"/>
    <x v="3"/>
    <x v="3"/>
    <x v="11"/>
    <d v="2026-05-15T00:00:00"/>
    <m/>
    <m/>
    <x v="5"/>
    <n v="746811"/>
    <m/>
    <n v="12"/>
    <x v="1"/>
    <s v=""/>
  </r>
  <r>
    <s v="APP115"/>
    <s v="Rohit"/>
    <x v="1"/>
    <n v="36"/>
    <s v="HR Exec"/>
    <x v="1"/>
    <x v="3"/>
    <x v="1"/>
    <x v="87"/>
    <d v="2026-05-01T00:00:00"/>
    <m/>
    <m/>
    <x v="3"/>
    <n v="793135"/>
    <m/>
    <n v="9"/>
    <x v="0"/>
    <s v=""/>
  </r>
  <r>
    <s v="APP116"/>
    <s v="Priya"/>
    <x v="1"/>
    <n v="24"/>
    <s v="Manager"/>
    <x v="0"/>
    <x v="3"/>
    <x v="2"/>
    <x v="88"/>
    <d v="2026-05-10T00:00:00"/>
    <m/>
    <m/>
    <x v="1"/>
    <n v="809066"/>
    <m/>
    <n v="4"/>
    <x v="2"/>
    <s v=""/>
  </r>
  <r>
    <s v="APP117"/>
    <s v="Sneha"/>
    <x v="0"/>
    <n v="35"/>
    <s v="Manager"/>
    <x v="0"/>
    <x v="0"/>
    <x v="3"/>
    <x v="89"/>
    <d v="2026-03-28T00:00:00"/>
    <m/>
    <m/>
    <x v="5"/>
    <n v="565785"/>
    <m/>
    <n v="5"/>
    <x v="0"/>
    <s v=""/>
  </r>
  <r>
    <s v="APP118"/>
    <s v="Amit"/>
    <x v="1"/>
    <n v="27"/>
    <s v="Accountant"/>
    <x v="2"/>
    <x v="0"/>
    <x v="3"/>
    <x v="90"/>
    <d v="2026-06-11T00:00:00"/>
    <m/>
    <m/>
    <x v="3"/>
    <n v="812537"/>
    <m/>
    <n v="1"/>
    <x v="0"/>
    <s v=""/>
  </r>
  <r>
    <s v="APP119"/>
    <s v="Priya"/>
    <x v="1"/>
    <n v="40"/>
    <s v="Developer"/>
    <x v="3"/>
    <x v="1"/>
    <x v="0"/>
    <x v="65"/>
    <d v="2026-06-28T00:00:00"/>
    <m/>
    <m/>
    <x v="4"/>
    <n v="660597"/>
    <m/>
    <n v="10"/>
    <x v="0"/>
    <s v=""/>
  </r>
  <r>
    <s v="APP120"/>
    <s v="Amit"/>
    <x v="1"/>
    <n v="33"/>
    <s v="Analyst"/>
    <x v="3"/>
    <x v="1"/>
    <x v="3"/>
    <x v="91"/>
    <d v="2026-02-17T00:00:00"/>
    <m/>
    <m/>
    <x v="3"/>
    <n v="754015"/>
    <m/>
    <n v="9"/>
    <x v="1"/>
    <s v=""/>
  </r>
  <r>
    <s v="APP121"/>
    <s v="Vikas"/>
    <x v="1"/>
    <n v="38"/>
    <s v="Accountant"/>
    <x v="2"/>
    <x v="0"/>
    <x v="3"/>
    <x v="80"/>
    <d v="2026-03-30T00:00:00"/>
    <m/>
    <m/>
    <x v="5"/>
    <n v="330814"/>
    <m/>
    <n v="5"/>
    <x v="2"/>
    <s v=""/>
  </r>
  <r>
    <s v="APP122"/>
    <s v="Pooja"/>
    <x v="0"/>
    <n v="40"/>
    <s v="Accountant"/>
    <x v="2"/>
    <x v="1"/>
    <x v="3"/>
    <x v="92"/>
    <d v="2026-01-15T00:00:00"/>
    <m/>
    <m/>
    <x v="1"/>
    <n v="479816"/>
    <m/>
    <n v="9"/>
    <x v="2"/>
    <s v=""/>
  </r>
  <r>
    <s v="APP123"/>
    <s v="Karan"/>
    <x v="1"/>
    <n v="26"/>
    <s v="Manager"/>
    <x v="0"/>
    <x v="3"/>
    <x v="3"/>
    <x v="68"/>
    <d v="2026-03-20T00:00:00"/>
    <d v="2026-03-23T00:00:00"/>
    <m/>
    <x v="6"/>
    <n v="831581"/>
    <n v="800292"/>
    <n v="9"/>
    <x v="2"/>
    <s v=""/>
  </r>
  <r>
    <s v="APP124"/>
    <s v="Rahul"/>
    <x v="0"/>
    <n v="34"/>
    <s v="Manager"/>
    <x v="0"/>
    <x v="2"/>
    <x v="4"/>
    <x v="93"/>
    <d v="2026-06-16T00:00:00"/>
    <d v="2026-06-21T00:00:00"/>
    <m/>
    <x v="6"/>
    <n v="378695"/>
    <n v="938252"/>
    <n v="11"/>
    <x v="2"/>
    <s v=""/>
  </r>
  <r>
    <s v="APP125"/>
    <s v="Amit"/>
    <x v="0"/>
    <n v="25"/>
    <s v="HR Exec"/>
    <x v="1"/>
    <x v="1"/>
    <x v="4"/>
    <x v="94"/>
    <d v="2026-01-11T00:00:00"/>
    <m/>
    <m/>
    <x v="3"/>
    <n v="762885"/>
    <m/>
    <n v="7"/>
    <x v="0"/>
    <s v=""/>
  </r>
  <r>
    <s v="APP126"/>
    <s v="Priya"/>
    <x v="0"/>
    <n v="28"/>
    <s v="Manager"/>
    <x v="0"/>
    <x v="1"/>
    <x v="2"/>
    <x v="95"/>
    <d v="2026-04-05T00:00:00"/>
    <d v="2026-04-09T00:00:00"/>
    <m/>
    <x v="6"/>
    <n v="712207"/>
    <n v="439441"/>
    <n v="7"/>
    <x v="0"/>
    <s v=""/>
  </r>
  <r>
    <s v="APP127"/>
    <s v="Priya"/>
    <x v="0"/>
    <n v="28"/>
    <s v="Manager"/>
    <x v="0"/>
    <x v="1"/>
    <x v="0"/>
    <x v="36"/>
    <d v="2026-06-18T00:00:00"/>
    <d v="2026-06-25T00:00:00"/>
    <m/>
    <x v="6"/>
    <n v="325681"/>
    <n v="584907"/>
    <n v="10"/>
    <x v="1"/>
    <s v=""/>
  </r>
  <r>
    <s v="APP128"/>
    <s v="Karan"/>
    <x v="0"/>
    <n v="30"/>
    <s v="Analyst"/>
    <x v="3"/>
    <x v="1"/>
    <x v="1"/>
    <x v="96"/>
    <d v="2026-01-12T00:00:00"/>
    <m/>
    <m/>
    <x v="0"/>
    <n v="300057"/>
    <m/>
    <n v="4"/>
    <x v="2"/>
    <s v=""/>
  </r>
  <r>
    <s v="APP129"/>
    <s v="Karan"/>
    <x v="0"/>
    <n v="36"/>
    <s v="HR Exec"/>
    <x v="1"/>
    <x v="1"/>
    <x v="1"/>
    <x v="74"/>
    <d v="2026-01-15T00:00:00"/>
    <d v="2026-01-20T00:00:00"/>
    <m/>
    <x v="6"/>
    <n v="623212"/>
    <n v="703067"/>
    <n v="1"/>
    <x v="0"/>
    <s v=""/>
  </r>
  <r>
    <s v="APP130"/>
    <s v="Karan"/>
    <x v="0"/>
    <n v="35"/>
    <s v="HR Exec"/>
    <x v="1"/>
    <x v="2"/>
    <x v="4"/>
    <x v="54"/>
    <d v="2026-02-06T00:00:00"/>
    <m/>
    <m/>
    <x v="5"/>
    <n v="561541"/>
    <m/>
    <n v="7"/>
    <x v="0"/>
    <s v=""/>
  </r>
  <r>
    <s v="APP131"/>
    <s v="Rohit"/>
    <x v="1"/>
    <n v="34"/>
    <s v="Analyst"/>
    <x v="3"/>
    <x v="0"/>
    <x v="1"/>
    <x v="97"/>
    <d v="2026-01-28T00:00:00"/>
    <m/>
    <m/>
    <x v="0"/>
    <n v="800757"/>
    <m/>
    <n v="12"/>
    <x v="2"/>
    <s v=""/>
  </r>
  <r>
    <s v="APP132"/>
    <s v="Sneha"/>
    <x v="0"/>
    <n v="27"/>
    <s v="HR Exec"/>
    <x v="1"/>
    <x v="1"/>
    <x v="2"/>
    <x v="98"/>
    <d v="2026-05-24T00:00:00"/>
    <m/>
    <m/>
    <x v="0"/>
    <n v="838136"/>
    <m/>
    <n v="11"/>
    <x v="0"/>
    <s v=""/>
  </r>
  <r>
    <s v="APP133"/>
    <s v="Pooja"/>
    <x v="1"/>
    <n v="27"/>
    <s v="Manager"/>
    <x v="0"/>
    <x v="1"/>
    <x v="0"/>
    <x v="22"/>
    <d v="2026-01-13T00:00:00"/>
    <d v="2026-01-18T00:00:00"/>
    <d v="2026-02-02T00:00:00"/>
    <x v="2"/>
    <n v="450079"/>
    <n v="356890"/>
    <n v="11"/>
    <x v="1"/>
    <n v="28"/>
  </r>
  <r>
    <s v="APP134"/>
    <s v="Sneha"/>
    <x v="1"/>
    <n v="25"/>
    <s v="Manager"/>
    <x v="0"/>
    <x v="0"/>
    <x v="0"/>
    <x v="4"/>
    <d v="2026-07-01T00:00:00"/>
    <m/>
    <m/>
    <x v="5"/>
    <n v="306894"/>
    <m/>
    <n v="7"/>
    <x v="0"/>
    <s v=""/>
  </r>
  <r>
    <s v="APP135"/>
    <s v="Rahul"/>
    <x v="0"/>
    <n v="30"/>
    <s v="Analyst"/>
    <x v="3"/>
    <x v="2"/>
    <x v="0"/>
    <x v="99"/>
    <d v="2026-04-23T00:00:00"/>
    <m/>
    <m/>
    <x v="0"/>
    <n v="797743"/>
    <m/>
    <n v="9"/>
    <x v="0"/>
    <s v=""/>
  </r>
  <r>
    <s v="APP136"/>
    <s v="Neha"/>
    <x v="0"/>
    <n v="24"/>
    <s v="Developer"/>
    <x v="3"/>
    <x v="2"/>
    <x v="1"/>
    <x v="100"/>
    <d v="2026-03-19T00:00:00"/>
    <d v="2026-03-24T00:00:00"/>
    <m/>
    <x v="6"/>
    <n v="763315"/>
    <n v="687558"/>
    <n v="4"/>
    <x v="2"/>
    <s v=""/>
  </r>
  <r>
    <s v="APP137"/>
    <s v="Pooja"/>
    <x v="0"/>
    <n v="25"/>
    <s v="HR Exec"/>
    <x v="1"/>
    <x v="3"/>
    <x v="0"/>
    <x v="96"/>
    <d v="2026-01-09T00:00:00"/>
    <m/>
    <m/>
    <x v="4"/>
    <n v="800513"/>
    <m/>
    <n v="11"/>
    <x v="1"/>
    <s v=""/>
  </r>
  <r>
    <s v="APP138"/>
    <s v="Karan"/>
    <x v="0"/>
    <n v="23"/>
    <s v="HR Exec"/>
    <x v="1"/>
    <x v="3"/>
    <x v="1"/>
    <x v="2"/>
    <d v="2026-02-19T00:00:00"/>
    <d v="2026-02-26T00:00:00"/>
    <d v="2026-03-06T00:00:00"/>
    <x v="2"/>
    <n v="694536"/>
    <n v="442282"/>
    <n v="11"/>
    <x v="2"/>
    <n v="17"/>
  </r>
  <r>
    <s v="APP139"/>
    <s v="Sneha"/>
    <x v="1"/>
    <n v="22"/>
    <s v="Manager"/>
    <x v="0"/>
    <x v="2"/>
    <x v="4"/>
    <x v="42"/>
    <d v="2026-03-28T00:00:00"/>
    <d v="2026-04-04T00:00:00"/>
    <d v="2026-04-14T00:00:00"/>
    <x v="2"/>
    <n v="560215"/>
    <n v="481479"/>
    <n v="4"/>
    <x v="1"/>
    <n v="20"/>
  </r>
  <r>
    <s v="APP140"/>
    <s v="Pooja"/>
    <x v="1"/>
    <n v="37"/>
    <s v="Accountant"/>
    <x v="2"/>
    <x v="3"/>
    <x v="2"/>
    <x v="101"/>
    <d v="2026-06-24T00:00:00"/>
    <m/>
    <m/>
    <x v="5"/>
    <n v="829750"/>
    <m/>
    <n v="10"/>
    <x v="0"/>
    <s v=""/>
  </r>
  <r>
    <s v="APP141"/>
    <s v="Pooja"/>
    <x v="1"/>
    <n v="31"/>
    <s v="Manager"/>
    <x v="0"/>
    <x v="1"/>
    <x v="0"/>
    <x v="102"/>
    <d v="2026-02-17T00:00:00"/>
    <m/>
    <m/>
    <x v="3"/>
    <n v="350313"/>
    <m/>
    <n v="1"/>
    <x v="2"/>
    <s v=""/>
  </r>
  <r>
    <s v="APP142"/>
    <s v="Pooja"/>
    <x v="1"/>
    <n v="29"/>
    <s v="Accountant"/>
    <x v="2"/>
    <x v="2"/>
    <x v="0"/>
    <x v="34"/>
    <d v="2026-06-04T00:00:00"/>
    <m/>
    <m/>
    <x v="5"/>
    <n v="720736"/>
    <m/>
    <n v="2"/>
    <x v="1"/>
    <s v=""/>
  </r>
  <r>
    <s v="APP143"/>
    <s v="Vikas"/>
    <x v="1"/>
    <n v="25"/>
    <s v="Manager"/>
    <x v="0"/>
    <x v="1"/>
    <x v="1"/>
    <x v="103"/>
    <d v="2026-01-31T00:00:00"/>
    <d v="2026-02-06T00:00:00"/>
    <m/>
    <x v="6"/>
    <n v="802022"/>
    <n v="492833"/>
    <n v="10"/>
    <x v="0"/>
    <s v=""/>
  </r>
  <r>
    <s v="APP144"/>
    <s v="Sneha"/>
    <x v="0"/>
    <n v="28"/>
    <s v="Accountant"/>
    <x v="2"/>
    <x v="0"/>
    <x v="1"/>
    <x v="104"/>
    <d v="2026-05-05T00:00:00"/>
    <m/>
    <m/>
    <x v="5"/>
    <n v="661428"/>
    <m/>
    <n v="5"/>
    <x v="2"/>
    <s v=""/>
  </r>
  <r>
    <s v="APP145"/>
    <s v="Amit"/>
    <x v="1"/>
    <n v="33"/>
    <s v="Analyst"/>
    <x v="3"/>
    <x v="1"/>
    <x v="2"/>
    <x v="44"/>
    <d v="2026-03-07T00:00:00"/>
    <d v="2026-03-09T00:00:00"/>
    <m/>
    <x v="6"/>
    <n v="745025"/>
    <n v="343235"/>
    <n v="12"/>
    <x v="2"/>
    <s v=""/>
  </r>
  <r>
    <s v="APP146"/>
    <s v="Rohit"/>
    <x v="1"/>
    <n v="33"/>
    <s v="Accountant"/>
    <x v="2"/>
    <x v="2"/>
    <x v="3"/>
    <x v="64"/>
    <d v="2026-02-28T00:00:00"/>
    <d v="2026-03-07T00:00:00"/>
    <d v="2026-03-13T00:00:00"/>
    <x v="2"/>
    <n v="455251"/>
    <n v="410774"/>
    <n v="9"/>
    <x v="0"/>
    <n v="22"/>
  </r>
  <r>
    <s v="APP147"/>
    <s v="Priya"/>
    <x v="0"/>
    <n v="39"/>
    <s v="Accountant"/>
    <x v="2"/>
    <x v="1"/>
    <x v="2"/>
    <x v="75"/>
    <d v="2026-01-31T00:00:00"/>
    <m/>
    <m/>
    <x v="0"/>
    <n v="613996"/>
    <m/>
    <n v="9"/>
    <x v="1"/>
    <s v=""/>
  </r>
  <r>
    <s v="APP148"/>
    <s v="Karan"/>
    <x v="0"/>
    <n v="33"/>
    <s v="Developer"/>
    <x v="3"/>
    <x v="2"/>
    <x v="0"/>
    <x v="54"/>
    <d v="2026-02-10T00:00:00"/>
    <m/>
    <m/>
    <x v="0"/>
    <n v="537194"/>
    <m/>
    <n v="9"/>
    <x v="2"/>
    <s v=""/>
  </r>
  <r>
    <s v="APP149"/>
    <s v="Karan"/>
    <x v="1"/>
    <n v="40"/>
    <s v="Developer"/>
    <x v="3"/>
    <x v="0"/>
    <x v="4"/>
    <x v="105"/>
    <d v="2026-06-12T00:00:00"/>
    <m/>
    <m/>
    <x v="5"/>
    <n v="629531"/>
    <m/>
    <n v="2"/>
    <x v="1"/>
    <s v=""/>
  </r>
  <r>
    <s v="APP150"/>
    <s v="Priya"/>
    <x v="1"/>
    <n v="27"/>
    <s v="Developer"/>
    <x v="3"/>
    <x v="2"/>
    <x v="4"/>
    <x v="105"/>
    <d v="2026-06-12T00:00:00"/>
    <m/>
    <m/>
    <x v="4"/>
    <n v="696345"/>
    <m/>
    <n v="4"/>
    <x v="1"/>
    <s v=""/>
  </r>
  <r>
    <s v="APP151"/>
    <s v="Anjali"/>
    <x v="0"/>
    <n v="27"/>
    <s v="Developer"/>
    <x v="3"/>
    <x v="1"/>
    <x v="1"/>
    <x v="52"/>
    <d v="2026-03-12T00:00:00"/>
    <m/>
    <m/>
    <x v="5"/>
    <n v="761259"/>
    <m/>
    <n v="2"/>
    <x v="1"/>
    <s v=""/>
  </r>
  <r>
    <s v="APP152"/>
    <s v="Rohit"/>
    <x v="1"/>
    <n v="40"/>
    <s v="HR Exec"/>
    <x v="1"/>
    <x v="2"/>
    <x v="2"/>
    <x v="106"/>
    <d v="2026-05-09T00:00:00"/>
    <m/>
    <m/>
    <x v="3"/>
    <n v="444319"/>
    <m/>
    <n v="11"/>
    <x v="2"/>
    <s v=""/>
  </r>
  <r>
    <s v="APP153"/>
    <s v="Rahul"/>
    <x v="1"/>
    <n v="33"/>
    <s v="Manager"/>
    <x v="0"/>
    <x v="0"/>
    <x v="1"/>
    <x v="107"/>
    <d v="2026-04-02T00:00:00"/>
    <m/>
    <m/>
    <x v="3"/>
    <n v="474838"/>
    <m/>
    <n v="11"/>
    <x v="1"/>
    <s v=""/>
  </r>
  <r>
    <s v="APP154"/>
    <s v="Vikas"/>
    <x v="1"/>
    <n v="35"/>
    <s v="Manager"/>
    <x v="0"/>
    <x v="1"/>
    <x v="0"/>
    <x v="108"/>
    <d v="2026-02-17T00:00:00"/>
    <m/>
    <m/>
    <x v="3"/>
    <n v="407440"/>
    <m/>
    <n v="6"/>
    <x v="1"/>
    <s v=""/>
  </r>
  <r>
    <s v="APP155"/>
    <s v="Vikas"/>
    <x v="0"/>
    <n v="35"/>
    <s v="Developer"/>
    <x v="3"/>
    <x v="3"/>
    <x v="0"/>
    <x v="92"/>
    <d v="2026-01-17T00:00:00"/>
    <m/>
    <m/>
    <x v="4"/>
    <n v="492855"/>
    <m/>
    <n v="10"/>
    <x v="0"/>
    <s v=""/>
  </r>
  <r>
    <s v="APP156"/>
    <s v="Vikas"/>
    <x v="0"/>
    <n v="33"/>
    <s v="Analyst"/>
    <x v="3"/>
    <x v="1"/>
    <x v="3"/>
    <x v="109"/>
    <d v="2026-05-20T00:00:00"/>
    <m/>
    <m/>
    <x v="5"/>
    <n v="427738"/>
    <m/>
    <n v="7"/>
    <x v="1"/>
    <s v=""/>
  </r>
  <r>
    <s v="APP157"/>
    <s v="Amit"/>
    <x v="0"/>
    <n v="23"/>
    <s v="Manager"/>
    <x v="0"/>
    <x v="1"/>
    <x v="1"/>
    <x v="110"/>
    <d v="2026-02-11T00:00:00"/>
    <m/>
    <m/>
    <x v="3"/>
    <n v="334117"/>
    <m/>
    <n v="6"/>
    <x v="1"/>
    <s v=""/>
  </r>
  <r>
    <s v="APP158"/>
    <s v="Amit"/>
    <x v="1"/>
    <n v="24"/>
    <s v="Analyst"/>
    <x v="3"/>
    <x v="3"/>
    <x v="0"/>
    <x v="78"/>
    <d v="2026-05-08T00:00:00"/>
    <d v="2026-05-12T00:00:00"/>
    <d v="2026-05-21T00:00:00"/>
    <x v="2"/>
    <n v="390903"/>
    <n v="823290"/>
    <n v="8"/>
    <x v="2"/>
    <n v="18"/>
  </r>
  <r>
    <s v="APP159"/>
    <s v="Karan"/>
    <x v="0"/>
    <n v="29"/>
    <s v="Analyst"/>
    <x v="3"/>
    <x v="3"/>
    <x v="4"/>
    <x v="39"/>
    <d v="2026-05-17T00:00:00"/>
    <m/>
    <m/>
    <x v="0"/>
    <n v="317979"/>
    <m/>
    <n v="5"/>
    <x v="2"/>
    <s v=""/>
  </r>
  <r>
    <s v="APP160"/>
    <s v="Priya"/>
    <x v="0"/>
    <n v="21"/>
    <s v="Manager"/>
    <x v="0"/>
    <x v="1"/>
    <x v="3"/>
    <x v="76"/>
    <d v="2026-06-01T00:00:00"/>
    <m/>
    <m/>
    <x v="4"/>
    <n v="677673"/>
    <m/>
    <n v="12"/>
    <x v="0"/>
    <s v=""/>
  </r>
  <r>
    <s v="APP161"/>
    <s v="Priya"/>
    <x v="0"/>
    <n v="26"/>
    <s v="Developer"/>
    <x v="3"/>
    <x v="3"/>
    <x v="0"/>
    <x v="58"/>
    <d v="2026-06-19T00:00:00"/>
    <d v="2026-06-21T00:00:00"/>
    <d v="2026-06-30T00:00:00"/>
    <x v="2"/>
    <n v="634385"/>
    <n v="735199"/>
    <n v="3"/>
    <x v="1"/>
    <n v="14"/>
  </r>
  <r>
    <s v="APP162"/>
    <s v="Vikas"/>
    <x v="0"/>
    <n v="39"/>
    <s v="Accountant"/>
    <x v="2"/>
    <x v="0"/>
    <x v="1"/>
    <x v="82"/>
    <d v="2026-01-29T00:00:00"/>
    <m/>
    <m/>
    <x v="1"/>
    <n v="886438"/>
    <m/>
    <n v="4"/>
    <x v="2"/>
    <s v=""/>
  </r>
  <r>
    <s v="APP163"/>
    <s v="Anjali"/>
    <x v="0"/>
    <n v="36"/>
    <s v="Accountant"/>
    <x v="2"/>
    <x v="2"/>
    <x v="3"/>
    <x v="73"/>
    <d v="2026-05-09T00:00:00"/>
    <m/>
    <m/>
    <x v="1"/>
    <n v="390106"/>
    <m/>
    <n v="4"/>
    <x v="0"/>
    <s v=""/>
  </r>
  <r>
    <s v="APP164"/>
    <s v="Sneha"/>
    <x v="1"/>
    <n v="36"/>
    <s v="Analyst"/>
    <x v="3"/>
    <x v="2"/>
    <x v="4"/>
    <x v="48"/>
    <d v="2026-06-10T00:00:00"/>
    <m/>
    <m/>
    <x v="4"/>
    <n v="398600"/>
    <m/>
    <n v="7"/>
    <x v="1"/>
    <s v=""/>
  </r>
  <r>
    <s v="APP165"/>
    <s v="Neha"/>
    <x v="0"/>
    <n v="40"/>
    <s v="Developer"/>
    <x v="3"/>
    <x v="2"/>
    <x v="3"/>
    <x v="111"/>
    <d v="2026-04-14T00:00:00"/>
    <m/>
    <m/>
    <x v="5"/>
    <n v="554594"/>
    <m/>
    <n v="7"/>
    <x v="1"/>
    <s v=""/>
  </r>
  <r>
    <s v="APP166"/>
    <s v="Amit"/>
    <x v="1"/>
    <n v="27"/>
    <s v="Accountant"/>
    <x v="2"/>
    <x v="3"/>
    <x v="1"/>
    <x v="42"/>
    <d v="2026-04-04T00:00:00"/>
    <m/>
    <m/>
    <x v="5"/>
    <n v="877612"/>
    <m/>
    <n v="12"/>
    <x v="1"/>
    <s v=""/>
  </r>
  <r>
    <s v="APP167"/>
    <s v="Rahul"/>
    <x v="1"/>
    <n v="23"/>
    <s v="HR Exec"/>
    <x v="1"/>
    <x v="1"/>
    <x v="2"/>
    <x v="33"/>
    <d v="2026-02-05T00:00:00"/>
    <m/>
    <m/>
    <x v="0"/>
    <n v="774899"/>
    <m/>
    <n v="10"/>
    <x v="0"/>
    <s v=""/>
  </r>
  <r>
    <s v="APP168"/>
    <s v="Priya"/>
    <x v="0"/>
    <n v="21"/>
    <s v="Manager"/>
    <x v="0"/>
    <x v="3"/>
    <x v="4"/>
    <x v="89"/>
    <d v="2026-03-29T00:00:00"/>
    <m/>
    <m/>
    <x v="3"/>
    <n v="663833"/>
    <m/>
    <n v="3"/>
    <x v="0"/>
    <s v=""/>
  </r>
  <r>
    <s v="APP169"/>
    <s v="Priya"/>
    <x v="1"/>
    <n v="22"/>
    <s v="Analyst"/>
    <x v="3"/>
    <x v="1"/>
    <x v="3"/>
    <x v="48"/>
    <d v="2026-06-07T00:00:00"/>
    <m/>
    <m/>
    <x v="3"/>
    <n v="852171"/>
    <m/>
    <n v="12"/>
    <x v="0"/>
    <s v=""/>
  </r>
  <r>
    <s v="APP170"/>
    <s v="Sneha"/>
    <x v="0"/>
    <n v="31"/>
    <s v="Manager"/>
    <x v="0"/>
    <x v="0"/>
    <x v="2"/>
    <x v="112"/>
    <d v="2026-06-25T00:00:00"/>
    <m/>
    <m/>
    <x v="5"/>
    <n v="742200"/>
    <m/>
    <n v="5"/>
    <x v="1"/>
    <s v=""/>
  </r>
  <r>
    <s v="APP171"/>
    <s v="Pooja"/>
    <x v="0"/>
    <n v="26"/>
    <s v="Developer"/>
    <x v="3"/>
    <x v="3"/>
    <x v="0"/>
    <x v="57"/>
    <d v="2026-03-22T00:00:00"/>
    <m/>
    <m/>
    <x v="5"/>
    <n v="321633"/>
    <m/>
    <n v="9"/>
    <x v="2"/>
    <s v=""/>
  </r>
  <r>
    <s v="APP172"/>
    <s v="Anjali"/>
    <x v="0"/>
    <n v="29"/>
    <s v="HR Exec"/>
    <x v="1"/>
    <x v="1"/>
    <x v="3"/>
    <x v="113"/>
    <d v="2026-01-31T00:00:00"/>
    <m/>
    <m/>
    <x v="1"/>
    <n v="461690"/>
    <m/>
    <n v="7"/>
    <x v="1"/>
    <s v=""/>
  </r>
  <r>
    <s v="APP173"/>
    <s v="Sneha"/>
    <x v="1"/>
    <n v="33"/>
    <s v="Developer"/>
    <x v="3"/>
    <x v="2"/>
    <x v="2"/>
    <x v="1"/>
    <d v="2026-01-23T00:00:00"/>
    <d v="2026-01-28T00:00:00"/>
    <m/>
    <x v="6"/>
    <n v="667157"/>
    <n v="687742"/>
    <n v="3"/>
    <x v="1"/>
    <s v=""/>
  </r>
  <r>
    <s v="APP174"/>
    <s v="Neha"/>
    <x v="0"/>
    <n v="30"/>
    <s v="Accountant"/>
    <x v="2"/>
    <x v="1"/>
    <x v="2"/>
    <x v="114"/>
    <d v="2026-06-01T00:00:00"/>
    <m/>
    <m/>
    <x v="5"/>
    <n v="624598"/>
    <m/>
    <n v="10"/>
    <x v="0"/>
    <s v=""/>
  </r>
  <r>
    <s v="APP175"/>
    <s v="Anjali"/>
    <x v="1"/>
    <n v="38"/>
    <s v="Analyst"/>
    <x v="3"/>
    <x v="2"/>
    <x v="2"/>
    <x v="11"/>
    <d v="2026-05-09T00:00:00"/>
    <m/>
    <m/>
    <x v="0"/>
    <n v="881656"/>
    <m/>
    <n v="4"/>
    <x v="2"/>
    <s v=""/>
  </r>
  <r>
    <s v="APP176"/>
    <s v="Sneha"/>
    <x v="0"/>
    <n v="28"/>
    <s v="HR Exec"/>
    <x v="1"/>
    <x v="0"/>
    <x v="4"/>
    <x v="86"/>
    <d v="2026-03-24T00:00:00"/>
    <m/>
    <m/>
    <x v="0"/>
    <n v="386359"/>
    <m/>
    <n v="3"/>
    <x v="2"/>
    <s v=""/>
  </r>
  <r>
    <s v="APP177"/>
    <s v="Rahul"/>
    <x v="1"/>
    <n v="30"/>
    <s v="Manager"/>
    <x v="0"/>
    <x v="3"/>
    <x v="0"/>
    <x v="65"/>
    <d v="2026-06-28T00:00:00"/>
    <d v="2026-07-02T00:00:00"/>
    <d v="2026-07-09T00:00:00"/>
    <x v="2"/>
    <n v="397459"/>
    <n v="856161"/>
    <n v="12"/>
    <x v="0"/>
    <n v="21"/>
  </r>
  <r>
    <s v="APP178"/>
    <s v="Neha"/>
    <x v="0"/>
    <n v="36"/>
    <s v="HR Exec"/>
    <x v="1"/>
    <x v="2"/>
    <x v="0"/>
    <x v="8"/>
    <d v="2026-02-02T00:00:00"/>
    <d v="2026-02-08T00:00:00"/>
    <m/>
    <x v="6"/>
    <n v="334385"/>
    <n v="642375"/>
    <n v="11"/>
    <x v="0"/>
    <s v=""/>
  </r>
  <r>
    <s v="APP179"/>
    <s v="Vikas"/>
    <x v="1"/>
    <n v="40"/>
    <s v="Accountant"/>
    <x v="2"/>
    <x v="1"/>
    <x v="3"/>
    <x v="69"/>
    <d v="2026-01-20T00:00:00"/>
    <m/>
    <m/>
    <x v="5"/>
    <n v="708490"/>
    <m/>
    <n v="11"/>
    <x v="1"/>
    <s v=""/>
  </r>
  <r>
    <s v="APP180"/>
    <s v="Sneha"/>
    <x v="0"/>
    <n v="22"/>
    <s v="Developer"/>
    <x v="3"/>
    <x v="0"/>
    <x v="3"/>
    <x v="82"/>
    <d v="2026-01-25T00:00:00"/>
    <m/>
    <m/>
    <x v="3"/>
    <n v="456137"/>
    <m/>
    <n v="12"/>
    <x v="2"/>
    <s v=""/>
  </r>
  <r>
    <s v="APP181"/>
    <s v="Karan"/>
    <x v="1"/>
    <n v="35"/>
    <s v="Accountant"/>
    <x v="2"/>
    <x v="0"/>
    <x v="4"/>
    <x v="92"/>
    <d v="2026-01-15T00:00:00"/>
    <m/>
    <m/>
    <x v="1"/>
    <n v="598482"/>
    <m/>
    <n v="6"/>
    <x v="0"/>
    <s v=""/>
  </r>
  <r>
    <s v="APP182"/>
    <s v="Rohit"/>
    <x v="1"/>
    <n v="32"/>
    <s v="Developer"/>
    <x v="3"/>
    <x v="1"/>
    <x v="2"/>
    <x v="115"/>
    <d v="2026-04-24T00:00:00"/>
    <m/>
    <m/>
    <x v="1"/>
    <n v="554501"/>
    <m/>
    <n v="10"/>
    <x v="0"/>
    <s v=""/>
  </r>
  <r>
    <s v="APP183"/>
    <s v="Vikas"/>
    <x v="1"/>
    <n v="22"/>
    <s v="HR Exec"/>
    <x v="1"/>
    <x v="1"/>
    <x v="0"/>
    <x v="116"/>
    <d v="2026-04-28T00:00:00"/>
    <m/>
    <m/>
    <x v="5"/>
    <n v="843168"/>
    <m/>
    <n v="3"/>
    <x v="1"/>
    <s v=""/>
  </r>
  <r>
    <s v="APP184"/>
    <s v="Anjali"/>
    <x v="0"/>
    <n v="23"/>
    <s v="Manager"/>
    <x v="0"/>
    <x v="2"/>
    <x v="1"/>
    <x v="117"/>
    <d v="2026-01-25T00:00:00"/>
    <d v="2026-01-31T00:00:00"/>
    <m/>
    <x v="6"/>
    <n v="628118"/>
    <n v="549301"/>
    <n v="9"/>
    <x v="0"/>
    <s v=""/>
  </r>
  <r>
    <s v="APP185"/>
    <s v="Neha"/>
    <x v="0"/>
    <n v="30"/>
    <s v="Accountant"/>
    <x v="2"/>
    <x v="0"/>
    <x v="2"/>
    <x v="118"/>
    <d v="2026-06-17T00:00:00"/>
    <d v="2026-06-23T00:00:00"/>
    <m/>
    <x v="6"/>
    <n v="859798"/>
    <n v="857581"/>
    <n v="6"/>
    <x v="2"/>
    <s v=""/>
  </r>
  <r>
    <s v="APP186"/>
    <s v="Priya"/>
    <x v="0"/>
    <n v="38"/>
    <s v="Accountant"/>
    <x v="2"/>
    <x v="1"/>
    <x v="0"/>
    <x v="25"/>
    <d v="2026-03-19T00:00:00"/>
    <d v="2026-03-26T00:00:00"/>
    <d v="2026-04-03T00:00:00"/>
    <x v="2"/>
    <n v="679314"/>
    <n v="377125"/>
    <n v="11"/>
    <x v="1"/>
    <n v="25"/>
  </r>
  <r>
    <s v="APP187"/>
    <s v="Priya"/>
    <x v="0"/>
    <n v="32"/>
    <s v="Analyst"/>
    <x v="3"/>
    <x v="0"/>
    <x v="1"/>
    <x v="104"/>
    <d v="2026-04-28T00:00:00"/>
    <d v="2026-05-01T00:00:00"/>
    <m/>
    <x v="6"/>
    <n v="614459"/>
    <n v="890948"/>
    <n v="7"/>
    <x v="1"/>
    <s v=""/>
  </r>
  <r>
    <s v="APP188"/>
    <s v="Neha"/>
    <x v="0"/>
    <n v="27"/>
    <s v="Developer"/>
    <x v="3"/>
    <x v="0"/>
    <x v="1"/>
    <x v="65"/>
    <d v="2026-06-20T00:00:00"/>
    <m/>
    <m/>
    <x v="4"/>
    <n v="458683"/>
    <m/>
    <n v="9"/>
    <x v="0"/>
    <s v=""/>
  </r>
  <r>
    <s v="APP189"/>
    <s v="Rahul"/>
    <x v="1"/>
    <n v="35"/>
    <s v="Analyst"/>
    <x v="3"/>
    <x v="2"/>
    <x v="0"/>
    <x v="90"/>
    <d v="2026-06-08T00:00:00"/>
    <m/>
    <m/>
    <x v="1"/>
    <n v="318473"/>
    <m/>
    <n v="4"/>
    <x v="0"/>
    <s v=""/>
  </r>
  <r>
    <s v="APP190"/>
    <s v="Karan"/>
    <x v="0"/>
    <n v="37"/>
    <s v="Accountant"/>
    <x v="2"/>
    <x v="1"/>
    <x v="4"/>
    <x v="89"/>
    <d v="2026-04-01T00:00:00"/>
    <m/>
    <m/>
    <x v="3"/>
    <n v="564788"/>
    <m/>
    <n v="1"/>
    <x v="0"/>
    <s v=""/>
  </r>
  <r>
    <s v="APP191"/>
    <s v="Priya"/>
    <x v="0"/>
    <n v="26"/>
    <s v="HR Exec"/>
    <x v="1"/>
    <x v="0"/>
    <x v="0"/>
    <x v="20"/>
    <d v="2026-02-14T00:00:00"/>
    <d v="2026-02-16T00:00:00"/>
    <d v="2026-02-23T00:00:00"/>
    <x v="2"/>
    <n v="746828"/>
    <n v="797213"/>
    <n v="3"/>
    <x v="1"/>
    <n v="12"/>
  </r>
  <r>
    <s v="APP192"/>
    <s v="Sneha"/>
    <x v="1"/>
    <n v="40"/>
    <s v="Manager"/>
    <x v="0"/>
    <x v="0"/>
    <x v="1"/>
    <x v="97"/>
    <d v="2026-01-24T00:00:00"/>
    <m/>
    <m/>
    <x v="0"/>
    <n v="753241"/>
    <m/>
    <n v="6"/>
    <x v="2"/>
    <s v=""/>
  </r>
  <r>
    <s v="APP193"/>
    <s v="Pooja"/>
    <x v="0"/>
    <n v="28"/>
    <s v="Accountant"/>
    <x v="2"/>
    <x v="0"/>
    <x v="2"/>
    <x v="38"/>
    <d v="2026-04-24T00:00:00"/>
    <m/>
    <m/>
    <x v="1"/>
    <n v="826427"/>
    <m/>
    <n v="5"/>
    <x v="1"/>
    <s v=""/>
  </r>
  <r>
    <s v="APP194"/>
    <s v="Karan"/>
    <x v="0"/>
    <n v="28"/>
    <s v="Analyst"/>
    <x v="3"/>
    <x v="3"/>
    <x v="3"/>
    <x v="67"/>
    <d v="2026-05-28T00:00:00"/>
    <m/>
    <m/>
    <x v="3"/>
    <n v="449938"/>
    <m/>
    <n v="4"/>
    <x v="2"/>
    <s v=""/>
  </r>
  <r>
    <s v="APP195"/>
    <s v="Priya"/>
    <x v="0"/>
    <n v="22"/>
    <s v="Accountant"/>
    <x v="2"/>
    <x v="2"/>
    <x v="3"/>
    <x v="33"/>
    <d v="2026-02-03T00:00:00"/>
    <d v="2026-02-06T00:00:00"/>
    <d v="2026-02-17T00:00:00"/>
    <x v="2"/>
    <n v="802164"/>
    <n v="573679"/>
    <n v="4"/>
    <x v="1"/>
    <n v="21"/>
  </r>
  <r>
    <s v="APP196"/>
    <s v="Sneha"/>
    <x v="0"/>
    <n v="26"/>
    <s v="Accountant"/>
    <x v="2"/>
    <x v="0"/>
    <x v="3"/>
    <x v="110"/>
    <d v="2026-02-15T00:00:00"/>
    <m/>
    <m/>
    <x v="1"/>
    <n v="311309"/>
    <m/>
    <n v="11"/>
    <x v="1"/>
    <s v=""/>
  </r>
  <r>
    <s v="APP197"/>
    <s v="Rahul"/>
    <x v="1"/>
    <n v="31"/>
    <s v="Developer"/>
    <x v="3"/>
    <x v="3"/>
    <x v="2"/>
    <x v="119"/>
    <d v="2026-04-10T00:00:00"/>
    <m/>
    <m/>
    <x v="1"/>
    <n v="425473"/>
    <m/>
    <n v="4"/>
    <x v="1"/>
    <s v=""/>
  </r>
  <r>
    <s v="APP198"/>
    <s v="Priya"/>
    <x v="1"/>
    <n v="40"/>
    <s v="Analyst"/>
    <x v="3"/>
    <x v="1"/>
    <x v="0"/>
    <x v="120"/>
    <d v="2026-06-02T00:00:00"/>
    <m/>
    <m/>
    <x v="0"/>
    <n v="898112"/>
    <m/>
    <n v="7"/>
    <x v="1"/>
    <s v=""/>
  </r>
  <r>
    <s v="APP199"/>
    <s v="Priya"/>
    <x v="1"/>
    <n v="23"/>
    <s v="Analyst"/>
    <x v="3"/>
    <x v="2"/>
    <x v="1"/>
    <x v="0"/>
    <d v="2026-01-20T00:00:00"/>
    <d v="2026-01-23T00:00:00"/>
    <m/>
    <x v="6"/>
    <n v="545657"/>
    <n v="327517"/>
    <n v="1"/>
    <x v="0"/>
    <s v=""/>
  </r>
  <r>
    <s v="APP200"/>
    <s v="Amit"/>
    <x v="1"/>
    <n v="23"/>
    <s v="HR Exec"/>
    <x v="1"/>
    <x v="2"/>
    <x v="2"/>
    <x v="95"/>
    <d v="2026-04-08T00:00:00"/>
    <m/>
    <m/>
    <x v="5"/>
    <n v="524543"/>
    <m/>
    <n v="2"/>
    <x v="2"/>
    <s v=""/>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Sneha"/>
    <x v="0"/>
    <n v="35"/>
    <s v="Manager"/>
    <x v="0"/>
    <x v="0"/>
    <x v="0"/>
    <x v="0"/>
    <d v="2026-01-20T00:00:00"/>
    <m/>
    <m/>
    <x v="0"/>
    <n v="368252"/>
    <m/>
    <n v="3"/>
    <s v="#SPILL!"/>
    <x v="0"/>
    <s v=""/>
  </r>
  <r>
    <x v="1"/>
    <s v="Neha"/>
    <x v="0"/>
    <n v="28"/>
    <s v="Manager"/>
    <x v="0"/>
    <x v="1"/>
    <x v="1"/>
    <x v="1"/>
    <d v="2026-01-27T00:00:00"/>
    <m/>
    <m/>
    <x v="0"/>
    <n v="438097"/>
    <m/>
    <n v="7"/>
    <m/>
    <x v="0"/>
    <s v=""/>
  </r>
  <r>
    <x v="2"/>
    <s v="Rohit"/>
    <x v="0"/>
    <n v="39"/>
    <s v="Manager"/>
    <x v="0"/>
    <x v="2"/>
    <x v="2"/>
    <x v="2"/>
    <d v="2026-02-23T00:00:00"/>
    <m/>
    <m/>
    <x v="1"/>
    <n v="610568"/>
    <m/>
    <n v="4"/>
    <m/>
    <x v="0"/>
    <s v=""/>
  </r>
  <r>
    <x v="3"/>
    <s v="Anjali"/>
    <x v="1"/>
    <n v="33"/>
    <s v="HR Exec"/>
    <x v="1"/>
    <x v="1"/>
    <x v="1"/>
    <x v="3"/>
    <d v="2026-05-14T00:00:00"/>
    <d v="2026-05-21T00:00:00"/>
    <d v="2026-06-02T00:00:00"/>
    <x v="2"/>
    <n v="555168"/>
    <n v="940832"/>
    <n v="3"/>
    <m/>
    <x v="1"/>
    <n v="27"/>
  </r>
  <r>
    <x v="4"/>
    <s v="Sneha"/>
    <x v="1"/>
    <n v="23"/>
    <s v="Accountant"/>
    <x v="2"/>
    <x v="1"/>
    <x v="0"/>
    <x v="4"/>
    <d v="2026-06-30T00:00:00"/>
    <d v="2026-07-06T00:00:00"/>
    <d v="2026-07-16T00:00:00"/>
    <x v="2"/>
    <n v="804815"/>
    <n v="461326"/>
    <n v="5"/>
    <m/>
    <x v="2"/>
    <n v="21"/>
  </r>
  <r>
    <x v="5"/>
    <s v="Vikas"/>
    <x v="0"/>
    <n v="34"/>
    <s v="Developer"/>
    <x v="3"/>
    <x v="1"/>
    <x v="1"/>
    <x v="5"/>
    <d v="2026-04-11T00:00:00"/>
    <m/>
    <m/>
    <x v="3"/>
    <n v="335317"/>
    <m/>
    <n v="8"/>
    <m/>
    <x v="0"/>
    <s v=""/>
  </r>
  <r>
    <x v="6"/>
    <s v="Rohit"/>
    <x v="0"/>
    <n v="24"/>
    <s v="Analyst"/>
    <x v="3"/>
    <x v="1"/>
    <x v="3"/>
    <x v="6"/>
    <d v="2026-02-14T00:00:00"/>
    <m/>
    <m/>
    <x v="1"/>
    <n v="597328"/>
    <m/>
    <n v="3"/>
    <m/>
    <x v="2"/>
    <s v=""/>
  </r>
  <r>
    <x v="7"/>
    <s v="Rohit"/>
    <x v="1"/>
    <n v="29"/>
    <s v="HR Exec"/>
    <x v="1"/>
    <x v="3"/>
    <x v="4"/>
    <x v="7"/>
    <d v="2026-04-28T00:00:00"/>
    <m/>
    <m/>
    <x v="1"/>
    <n v="821143"/>
    <m/>
    <n v="4"/>
    <m/>
    <x v="1"/>
    <m/>
  </r>
  <r>
    <x v="8"/>
    <s v="Amit"/>
    <x v="0"/>
    <n v="40"/>
    <s v="Analyst"/>
    <x v="3"/>
    <x v="3"/>
    <x v="1"/>
    <x v="8"/>
    <d v="2026-02-04T00:00:00"/>
    <m/>
    <m/>
    <x v="4"/>
    <n v="587195"/>
    <m/>
    <n v="6"/>
    <m/>
    <x v="1"/>
    <s v=""/>
  </r>
  <r>
    <x v="9"/>
    <s v="Vikas"/>
    <x v="0"/>
    <n v="24"/>
    <s v="HR Exec"/>
    <x v="1"/>
    <x v="2"/>
    <x v="3"/>
    <x v="9"/>
    <d v="2026-03-21T00:00:00"/>
    <m/>
    <m/>
    <x v="3"/>
    <n v="875980"/>
    <m/>
    <n v="8"/>
    <m/>
    <x v="1"/>
    <s v=""/>
  </r>
  <r>
    <x v="10"/>
    <s v="Anjali"/>
    <x v="0"/>
    <n v="34"/>
    <s v="Manager"/>
    <x v="0"/>
    <x v="2"/>
    <x v="0"/>
    <x v="10"/>
    <d v="2026-05-08T00:00:00"/>
    <m/>
    <m/>
    <x v="1"/>
    <n v="406375"/>
    <m/>
    <n v="4"/>
    <m/>
    <x v="1"/>
    <s v=""/>
  </r>
  <r>
    <x v="11"/>
    <s v="Rohit"/>
    <x v="1"/>
    <n v="26"/>
    <s v="Analyst"/>
    <x v="3"/>
    <x v="0"/>
    <x v="2"/>
    <x v="11"/>
    <d v="2026-05-08T00:00:00"/>
    <d v="2026-05-10T00:00:00"/>
    <d v="2026-05-26T00:00:00"/>
    <x v="2"/>
    <n v="490750"/>
    <n v="453255"/>
    <n v="6"/>
    <m/>
    <x v="2"/>
    <n v="21"/>
  </r>
  <r>
    <x v="12"/>
    <s v="Amit"/>
    <x v="0"/>
    <n v="36"/>
    <s v="Analyst"/>
    <x v="3"/>
    <x v="1"/>
    <x v="1"/>
    <x v="12"/>
    <d v="2026-02-25T00:00:00"/>
    <m/>
    <m/>
    <x v="3"/>
    <n v="710140"/>
    <m/>
    <n v="1"/>
    <m/>
    <x v="0"/>
    <s v=""/>
  </r>
  <r>
    <x v="13"/>
    <s v="Neha"/>
    <x v="0"/>
    <n v="30"/>
    <s v="Analyst"/>
    <x v="3"/>
    <x v="1"/>
    <x v="0"/>
    <x v="13"/>
    <d v="2026-07-03T00:00:00"/>
    <m/>
    <m/>
    <x v="3"/>
    <n v="752488"/>
    <m/>
    <n v="6"/>
    <m/>
    <x v="1"/>
    <s v=""/>
  </r>
  <r>
    <x v="14"/>
    <s v="Sneha"/>
    <x v="0"/>
    <n v="36"/>
    <s v="Manager"/>
    <x v="0"/>
    <x v="0"/>
    <x v="4"/>
    <x v="14"/>
    <d v="2026-03-09T00:00:00"/>
    <m/>
    <m/>
    <x v="0"/>
    <n v="739769"/>
    <m/>
    <n v="1"/>
    <m/>
    <x v="1"/>
    <s v=""/>
  </r>
  <r>
    <x v="15"/>
    <s v="Anjali"/>
    <x v="0"/>
    <n v="34"/>
    <s v="HR Exec"/>
    <x v="1"/>
    <x v="0"/>
    <x v="4"/>
    <x v="15"/>
    <d v="2026-02-28T00:00:00"/>
    <m/>
    <m/>
    <x v="1"/>
    <n v="382570"/>
    <m/>
    <n v="4"/>
    <m/>
    <x v="1"/>
    <s v=""/>
  </r>
  <r>
    <x v="16"/>
    <s v="Amit"/>
    <x v="1"/>
    <n v="32"/>
    <s v="Accountant"/>
    <x v="2"/>
    <x v="2"/>
    <x v="3"/>
    <x v="16"/>
    <d v="2026-06-27T00:00:00"/>
    <m/>
    <m/>
    <x v="1"/>
    <n v="855646"/>
    <m/>
    <n v="11"/>
    <m/>
    <x v="1"/>
    <s v=""/>
  </r>
  <r>
    <x v="17"/>
    <s v="Vikas"/>
    <x v="1"/>
    <n v="21"/>
    <s v="Manager"/>
    <x v="0"/>
    <x v="3"/>
    <x v="3"/>
    <x v="17"/>
    <d v="2026-05-18T00:00:00"/>
    <m/>
    <m/>
    <x v="5"/>
    <n v="819776"/>
    <m/>
    <n v="5"/>
    <m/>
    <x v="1"/>
    <s v=""/>
  </r>
  <r>
    <x v="18"/>
    <s v="Amit"/>
    <x v="0"/>
    <n v="35"/>
    <s v="Accountant"/>
    <x v="2"/>
    <x v="1"/>
    <x v="0"/>
    <x v="18"/>
    <d v="2026-03-09T00:00:00"/>
    <m/>
    <m/>
    <x v="5"/>
    <n v="455546"/>
    <m/>
    <n v="12"/>
    <m/>
    <x v="1"/>
    <s v=""/>
  </r>
  <r>
    <x v="19"/>
    <s v="Anjali"/>
    <x v="1"/>
    <n v="21"/>
    <s v="Developer"/>
    <x v="3"/>
    <x v="1"/>
    <x v="0"/>
    <x v="19"/>
    <d v="2026-02-08T00:00:00"/>
    <d v="2026-02-11T00:00:00"/>
    <d v="2026-02-23T00:00:00"/>
    <x v="2"/>
    <n v="552774"/>
    <n v="796266"/>
    <n v="1"/>
    <m/>
    <x v="1"/>
    <n v="24"/>
  </r>
  <r>
    <x v="20"/>
    <s v="Sneha"/>
    <x v="1"/>
    <n v="31"/>
    <s v="Developer"/>
    <x v="3"/>
    <x v="0"/>
    <x v="4"/>
    <x v="20"/>
    <d v="2026-02-19T00:00:00"/>
    <m/>
    <m/>
    <x v="1"/>
    <n v="632115"/>
    <m/>
    <n v="12"/>
    <m/>
    <x v="2"/>
    <s v=""/>
  </r>
  <r>
    <x v="21"/>
    <s v="Anjali"/>
    <x v="0"/>
    <n v="29"/>
    <s v="HR Exec"/>
    <x v="1"/>
    <x v="1"/>
    <x v="1"/>
    <x v="21"/>
    <d v="2026-04-20T00:00:00"/>
    <m/>
    <m/>
    <x v="5"/>
    <n v="555664"/>
    <m/>
    <n v="2"/>
    <m/>
    <x v="2"/>
    <s v=""/>
  </r>
  <r>
    <x v="22"/>
    <s v="Rahul"/>
    <x v="0"/>
    <n v="31"/>
    <s v="HR Exec"/>
    <x v="1"/>
    <x v="1"/>
    <x v="4"/>
    <x v="22"/>
    <d v="2026-01-07T00:00:00"/>
    <d v="2026-01-11T00:00:00"/>
    <d v="2026-01-22T00:00:00"/>
    <x v="2"/>
    <n v="320285"/>
    <n v="617276"/>
    <n v="11"/>
    <m/>
    <x v="2"/>
    <n v="17"/>
  </r>
  <r>
    <x v="23"/>
    <s v="Karan"/>
    <x v="0"/>
    <n v="26"/>
    <s v="Manager"/>
    <x v="0"/>
    <x v="0"/>
    <x v="4"/>
    <x v="23"/>
    <d v="2026-01-19T00:00:00"/>
    <d v="2026-01-25T00:00:00"/>
    <m/>
    <x v="6"/>
    <n v="372397"/>
    <n v="822998"/>
    <n v="2"/>
    <m/>
    <x v="0"/>
    <s v=""/>
  </r>
  <r>
    <x v="24"/>
    <s v="Karan"/>
    <x v="1"/>
    <n v="31"/>
    <s v="Analyst"/>
    <x v="3"/>
    <x v="0"/>
    <x v="2"/>
    <x v="24"/>
    <d v="2026-06-19T00:00:00"/>
    <d v="2026-06-25T00:00:00"/>
    <d v="2026-07-04T00:00:00"/>
    <x v="2"/>
    <n v="844054"/>
    <n v="454276"/>
    <n v="11"/>
    <m/>
    <x v="0"/>
    <n v="21"/>
  </r>
  <r>
    <x v="25"/>
    <s v="Neha"/>
    <x v="1"/>
    <n v="28"/>
    <s v="Analyst"/>
    <x v="3"/>
    <x v="1"/>
    <x v="3"/>
    <x v="25"/>
    <d v="2026-03-15T00:00:00"/>
    <m/>
    <m/>
    <x v="4"/>
    <n v="825416"/>
    <m/>
    <n v="7"/>
    <m/>
    <x v="2"/>
    <s v=""/>
  </r>
  <r>
    <x v="26"/>
    <s v="Karan"/>
    <x v="0"/>
    <n v="30"/>
    <s v="HR Exec"/>
    <x v="1"/>
    <x v="1"/>
    <x v="0"/>
    <x v="13"/>
    <d v="2026-07-01T00:00:00"/>
    <m/>
    <m/>
    <x v="4"/>
    <n v="779977"/>
    <m/>
    <n v="10"/>
    <m/>
    <x v="1"/>
    <s v=""/>
  </r>
  <r>
    <x v="27"/>
    <s v="Karan"/>
    <x v="1"/>
    <n v="35"/>
    <s v="HR Exec"/>
    <x v="1"/>
    <x v="0"/>
    <x v="4"/>
    <x v="26"/>
    <d v="2026-05-05T00:00:00"/>
    <m/>
    <m/>
    <x v="1"/>
    <n v="445183"/>
    <m/>
    <n v="4"/>
    <m/>
    <x v="0"/>
    <s v=""/>
  </r>
  <r>
    <x v="28"/>
    <s v="Pooja"/>
    <x v="0"/>
    <n v="21"/>
    <s v="Manager"/>
    <x v="0"/>
    <x v="0"/>
    <x v="2"/>
    <x v="27"/>
    <d v="2026-05-11T00:00:00"/>
    <m/>
    <m/>
    <x v="3"/>
    <n v="445263"/>
    <m/>
    <n v="3"/>
    <m/>
    <x v="1"/>
    <s v=""/>
  </r>
  <r>
    <x v="29"/>
    <s v="Amit"/>
    <x v="1"/>
    <n v="39"/>
    <s v="Analyst"/>
    <x v="3"/>
    <x v="1"/>
    <x v="4"/>
    <x v="28"/>
    <d v="2026-02-27T00:00:00"/>
    <m/>
    <m/>
    <x v="0"/>
    <n v="612759"/>
    <m/>
    <n v="8"/>
    <m/>
    <x v="0"/>
    <s v=""/>
  </r>
  <r>
    <x v="30"/>
    <s v="Pooja"/>
    <x v="0"/>
    <n v="39"/>
    <s v="Analyst"/>
    <x v="3"/>
    <x v="2"/>
    <x v="4"/>
    <x v="29"/>
    <d v="2026-04-18T00:00:00"/>
    <m/>
    <m/>
    <x v="0"/>
    <n v="527215"/>
    <m/>
    <n v="5"/>
    <m/>
    <x v="2"/>
    <s v=""/>
  </r>
  <r>
    <x v="31"/>
    <s v="Amit"/>
    <x v="1"/>
    <n v="23"/>
    <s v="Developer"/>
    <x v="3"/>
    <x v="0"/>
    <x v="4"/>
    <x v="30"/>
    <d v="2026-05-30T00:00:00"/>
    <d v="2026-06-06T00:00:00"/>
    <m/>
    <x v="6"/>
    <n v="373903"/>
    <n v="833178"/>
    <n v="9"/>
    <m/>
    <x v="0"/>
    <s v=""/>
  </r>
  <r>
    <x v="32"/>
    <s v="Amit"/>
    <x v="0"/>
    <n v="22"/>
    <s v="Developer"/>
    <x v="3"/>
    <x v="2"/>
    <x v="3"/>
    <x v="31"/>
    <d v="2026-02-17T00:00:00"/>
    <m/>
    <m/>
    <x v="3"/>
    <n v="601564"/>
    <m/>
    <n v="1"/>
    <m/>
    <x v="0"/>
    <s v=""/>
  </r>
  <r>
    <x v="33"/>
    <s v="Neha"/>
    <x v="1"/>
    <n v="25"/>
    <s v="Accountant"/>
    <x v="2"/>
    <x v="0"/>
    <x v="2"/>
    <x v="32"/>
    <d v="2026-06-17T00:00:00"/>
    <m/>
    <m/>
    <x v="3"/>
    <n v="716518"/>
    <m/>
    <n v="10"/>
    <m/>
    <x v="2"/>
    <s v=""/>
  </r>
  <r>
    <x v="34"/>
    <s v="Anjali"/>
    <x v="1"/>
    <n v="28"/>
    <s v="Manager"/>
    <x v="0"/>
    <x v="0"/>
    <x v="4"/>
    <x v="27"/>
    <d v="2026-05-16T00:00:00"/>
    <m/>
    <m/>
    <x v="1"/>
    <n v="728217"/>
    <m/>
    <n v="3"/>
    <m/>
    <x v="2"/>
    <s v=""/>
  </r>
  <r>
    <x v="35"/>
    <s v="Sneha"/>
    <x v="0"/>
    <n v="25"/>
    <s v="Developer"/>
    <x v="3"/>
    <x v="3"/>
    <x v="3"/>
    <x v="16"/>
    <d v="2026-06-27T00:00:00"/>
    <d v="2026-07-03T00:00:00"/>
    <d v="2026-07-21T00:00:00"/>
    <x v="2"/>
    <n v="646808"/>
    <n v="825140"/>
    <n v="10"/>
    <m/>
    <x v="2"/>
    <n v="31"/>
  </r>
  <r>
    <x v="36"/>
    <s v="Vikas"/>
    <x v="1"/>
    <n v="25"/>
    <s v="Developer"/>
    <x v="3"/>
    <x v="1"/>
    <x v="4"/>
    <x v="33"/>
    <d v="2026-01-31T00:00:00"/>
    <d v="2026-02-05T00:00:00"/>
    <m/>
    <x v="6"/>
    <n v="643439"/>
    <n v="423111"/>
    <n v="3"/>
    <m/>
    <x v="1"/>
    <s v=""/>
  </r>
  <r>
    <x v="37"/>
    <s v="Neha"/>
    <x v="1"/>
    <n v="30"/>
    <s v="Accountant"/>
    <x v="2"/>
    <x v="0"/>
    <x v="1"/>
    <x v="34"/>
    <d v="2026-05-30T00:00:00"/>
    <d v="2026-06-04T00:00:00"/>
    <d v="2026-06-13T00:00:00"/>
    <x v="2"/>
    <n v="379514"/>
    <n v="532032"/>
    <n v="8"/>
    <m/>
    <x v="1"/>
    <n v="16"/>
  </r>
  <r>
    <x v="38"/>
    <s v="Rohit"/>
    <x v="1"/>
    <n v="26"/>
    <s v="Manager"/>
    <x v="0"/>
    <x v="1"/>
    <x v="0"/>
    <x v="35"/>
    <d v="2026-05-03T00:00:00"/>
    <m/>
    <m/>
    <x v="3"/>
    <n v="429422"/>
    <m/>
    <n v="1"/>
    <m/>
    <x v="2"/>
    <s v=""/>
  </r>
  <r>
    <x v="39"/>
    <s v="Vikas"/>
    <x v="1"/>
    <n v="35"/>
    <s v="Developer"/>
    <x v="3"/>
    <x v="2"/>
    <x v="0"/>
    <x v="36"/>
    <d v="2026-06-17T00:00:00"/>
    <m/>
    <m/>
    <x v="4"/>
    <n v="766864"/>
    <m/>
    <n v="4"/>
    <m/>
    <x v="1"/>
    <s v=""/>
  </r>
  <r>
    <x v="40"/>
    <s v="Rahul"/>
    <x v="0"/>
    <n v="33"/>
    <s v="HR Exec"/>
    <x v="1"/>
    <x v="0"/>
    <x v="2"/>
    <x v="8"/>
    <d v="2026-02-08T00:00:00"/>
    <m/>
    <m/>
    <x v="0"/>
    <n v="489008"/>
    <m/>
    <n v="4"/>
    <m/>
    <x v="2"/>
    <s v=""/>
  </r>
  <r>
    <x v="41"/>
    <s v="Priya"/>
    <x v="1"/>
    <n v="29"/>
    <s v="HR Exec"/>
    <x v="1"/>
    <x v="3"/>
    <x v="3"/>
    <x v="37"/>
    <d v="2026-07-01T00:00:00"/>
    <m/>
    <m/>
    <x v="5"/>
    <n v="548134"/>
    <m/>
    <n v="6"/>
    <m/>
    <x v="0"/>
    <s v=""/>
  </r>
  <r>
    <x v="42"/>
    <s v="Rahul"/>
    <x v="1"/>
    <n v="36"/>
    <s v="Manager"/>
    <x v="0"/>
    <x v="3"/>
    <x v="1"/>
    <x v="26"/>
    <d v="2026-05-02T00:00:00"/>
    <m/>
    <m/>
    <x v="5"/>
    <n v="413547"/>
    <m/>
    <n v="9"/>
    <m/>
    <x v="1"/>
    <s v=""/>
  </r>
  <r>
    <x v="43"/>
    <s v="Vikas"/>
    <x v="0"/>
    <n v="33"/>
    <s v="Analyst"/>
    <x v="3"/>
    <x v="3"/>
    <x v="4"/>
    <x v="38"/>
    <d v="2026-04-26T00:00:00"/>
    <m/>
    <m/>
    <x v="3"/>
    <n v="409639"/>
    <m/>
    <n v="10"/>
    <m/>
    <x v="1"/>
    <s v=""/>
  </r>
  <r>
    <x v="44"/>
    <s v="Anjali"/>
    <x v="1"/>
    <n v="35"/>
    <s v="Accountant"/>
    <x v="2"/>
    <x v="2"/>
    <x v="2"/>
    <x v="39"/>
    <d v="2026-05-21T00:00:00"/>
    <d v="2026-05-28T00:00:00"/>
    <m/>
    <x v="6"/>
    <n v="767689"/>
    <n v="423120"/>
    <n v="2"/>
    <m/>
    <x v="0"/>
    <s v=""/>
  </r>
  <r>
    <x v="45"/>
    <s v="Sneha"/>
    <x v="1"/>
    <n v="27"/>
    <s v="Developer"/>
    <x v="3"/>
    <x v="2"/>
    <x v="2"/>
    <x v="40"/>
    <d v="2026-02-20T00:00:00"/>
    <m/>
    <m/>
    <x v="0"/>
    <n v="375880"/>
    <m/>
    <n v="5"/>
    <m/>
    <x v="2"/>
    <s v=""/>
  </r>
  <r>
    <x v="46"/>
    <s v="Rohit"/>
    <x v="0"/>
    <n v="24"/>
    <s v="HR Exec"/>
    <x v="1"/>
    <x v="1"/>
    <x v="1"/>
    <x v="41"/>
    <d v="2026-04-06T00:00:00"/>
    <m/>
    <m/>
    <x v="3"/>
    <n v="841514"/>
    <m/>
    <n v="12"/>
    <m/>
    <x v="2"/>
    <s v=""/>
  </r>
  <r>
    <x v="47"/>
    <s v="Amit"/>
    <x v="1"/>
    <n v="39"/>
    <s v="HR Exec"/>
    <x v="1"/>
    <x v="0"/>
    <x v="4"/>
    <x v="0"/>
    <d v="2026-01-19T00:00:00"/>
    <m/>
    <m/>
    <x v="3"/>
    <n v="781919"/>
    <m/>
    <n v="6"/>
    <m/>
    <x v="2"/>
    <s v=""/>
  </r>
  <r>
    <x v="48"/>
    <s v="Amit"/>
    <x v="1"/>
    <n v="22"/>
    <s v="Developer"/>
    <x v="3"/>
    <x v="3"/>
    <x v="3"/>
    <x v="42"/>
    <d v="2026-03-31T00:00:00"/>
    <d v="2026-04-05T00:00:00"/>
    <m/>
    <x v="6"/>
    <n v="802746"/>
    <n v="825292"/>
    <n v="5"/>
    <m/>
    <x v="1"/>
    <s v=""/>
  </r>
  <r>
    <x v="49"/>
    <s v="Amit"/>
    <x v="1"/>
    <n v="28"/>
    <s v="Accountant"/>
    <x v="2"/>
    <x v="0"/>
    <x v="4"/>
    <x v="43"/>
    <d v="2026-05-07T00:00:00"/>
    <m/>
    <m/>
    <x v="0"/>
    <n v="406790"/>
    <m/>
    <n v="4"/>
    <m/>
    <x v="0"/>
    <s v=""/>
  </r>
  <r>
    <x v="50"/>
    <s v="Neha"/>
    <x v="1"/>
    <n v="31"/>
    <s v="Manager"/>
    <x v="0"/>
    <x v="2"/>
    <x v="4"/>
    <x v="44"/>
    <d v="2026-03-07T00:00:00"/>
    <d v="2026-03-14T00:00:00"/>
    <m/>
    <x v="6"/>
    <n v="332217"/>
    <n v="919717"/>
    <n v="4"/>
    <m/>
    <x v="0"/>
    <s v=""/>
  </r>
  <r>
    <x v="51"/>
    <s v="Karan"/>
    <x v="0"/>
    <n v="23"/>
    <s v="Analyst"/>
    <x v="3"/>
    <x v="3"/>
    <x v="0"/>
    <x v="42"/>
    <d v="2026-04-04T00:00:00"/>
    <m/>
    <m/>
    <x v="1"/>
    <n v="678001"/>
    <m/>
    <n v="1"/>
    <m/>
    <x v="1"/>
    <s v=""/>
  </r>
  <r>
    <x v="52"/>
    <s v="Vikas"/>
    <x v="1"/>
    <n v="39"/>
    <s v="Accountant"/>
    <x v="2"/>
    <x v="0"/>
    <x v="2"/>
    <x v="35"/>
    <d v="2026-05-03T00:00:00"/>
    <m/>
    <m/>
    <x v="4"/>
    <n v="564619"/>
    <m/>
    <n v="6"/>
    <m/>
    <x v="2"/>
    <s v=""/>
  </r>
  <r>
    <x v="53"/>
    <s v="Neha"/>
    <x v="0"/>
    <n v="23"/>
    <s v="Manager"/>
    <x v="0"/>
    <x v="0"/>
    <x v="0"/>
    <x v="45"/>
    <d v="2026-03-22T00:00:00"/>
    <m/>
    <m/>
    <x v="5"/>
    <n v="626427"/>
    <m/>
    <n v="12"/>
    <m/>
    <x v="2"/>
    <s v=""/>
  </r>
  <r>
    <x v="54"/>
    <s v="Pooja"/>
    <x v="1"/>
    <n v="28"/>
    <s v="Accountant"/>
    <x v="2"/>
    <x v="1"/>
    <x v="4"/>
    <x v="46"/>
    <d v="2026-03-06T00:00:00"/>
    <m/>
    <m/>
    <x v="4"/>
    <n v="323733"/>
    <m/>
    <n v="5"/>
    <m/>
    <x v="0"/>
    <s v=""/>
  </r>
  <r>
    <x v="55"/>
    <s v="Pooja"/>
    <x v="0"/>
    <n v="27"/>
    <s v="Analyst"/>
    <x v="3"/>
    <x v="2"/>
    <x v="3"/>
    <x v="47"/>
    <d v="2026-04-12T00:00:00"/>
    <m/>
    <m/>
    <x v="1"/>
    <n v="481387"/>
    <m/>
    <n v="8"/>
    <m/>
    <x v="0"/>
    <s v=""/>
  </r>
  <r>
    <x v="56"/>
    <s v="Sneha"/>
    <x v="1"/>
    <n v="25"/>
    <s v="HR Exec"/>
    <x v="1"/>
    <x v="2"/>
    <x v="3"/>
    <x v="48"/>
    <d v="2026-06-13T00:00:00"/>
    <m/>
    <m/>
    <x v="5"/>
    <n v="767097"/>
    <m/>
    <n v="8"/>
    <m/>
    <x v="0"/>
    <s v=""/>
  </r>
  <r>
    <x v="57"/>
    <s v="Karan"/>
    <x v="0"/>
    <n v="31"/>
    <s v="Analyst"/>
    <x v="3"/>
    <x v="0"/>
    <x v="1"/>
    <x v="30"/>
    <d v="2026-05-29T00:00:00"/>
    <m/>
    <m/>
    <x v="3"/>
    <n v="601775"/>
    <m/>
    <n v="12"/>
    <m/>
    <x v="2"/>
    <s v=""/>
  </r>
  <r>
    <x v="58"/>
    <s v="Anjali"/>
    <x v="0"/>
    <n v="29"/>
    <s v="Analyst"/>
    <x v="3"/>
    <x v="1"/>
    <x v="2"/>
    <x v="3"/>
    <d v="2026-05-10T00:00:00"/>
    <d v="2026-05-14T00:00:00"/>
    <m/>
    <x v="6"/>
    <n v="841072"/>
    <n v="748996"/>
    <n v="11"/>
    <m/>
    <x v="2"/>
    <s v=""/>
  </r>
  <r>
    <x v="59"/>
    <s v="Priya"/>
    <x v="0"/>
    <n v="30"/>
    <s v="Accountant"/>
    <x v="2"/>
    <x v="2"/>
    <x v="3"/>
    <x v="49"/>
    <d v="2026-03-23T00:00:00"/>
    <m/>
    <m/>
    <x v="1"/>
    <n v="355215"/>
    <m/>
    <n v="2"/>
    <m/>
    <x v="1"/>
    <s v=""/>
  </r>
  <r>
    <x v="60"/>
    <s v="Pooja"/>
    <x v="1"/>
    <n v="34"/>
    <s v="Manager"/>
    <x v="0"/>
    <x v="3"/>
    <x v="3"/>
    <x v="50"/>
    <d v="2026-05-29T00:00:00"/>
    <m/>
    <m/>
    <x v="0"/>
    <n v="612563"/>
    <m/>
    <n v="12"/>
    <m/>
    <x v="2"/>
    <s v=""/>
  </r>
  <r>
    <x v="61"/>
    <s v="Sneha"/>
    <x v="0"/>
    <n v="36"/>
    <s v="Accountant"/>
    <x v="2"/>
    <x v="1"/>
    <x v="3"/>
    <x v="38"/>
    <d v="2026-04-26T00:00:00"/>
    <m/>
    <m/>
    <x v="3"/>
    <n v="315035"/>
    <m/>
    <n v="8"/>
    <m/>
    <x v="2"/>
    <s v=""/>
  </r>
  <r>
    <x v="62"/>
    <s v="Vikas"/>
    <x v="1"/>
    <n v="27"/>
    <s v="Manager"/>
    <x v="0"/>
    <x v="2"/>
    <x v="4"/>
    <x v="51"/>
    <d v="2026-02-28T00:00:00"/>
    <m/>
    <m/>
    <x v="1"/>
    <n v="321363"/>
    <m/>
    <n v="7"/>
    <m/>
    <x v="2"/>
    <s v=""/>
  </r>
  <r>
    <x v="63"/>
    <s v="Amit"/>
    <x v="1"/>
    <n v="22"/>
    <s v="Accountant"/>
    <x v="2"/>
    <x v="1"/>
    <x v="1"/>
    <x v="52"/>
    <d v="2026-03-12T00:00:00"/>
    <m/>
    <m/>
    <x v="3"/>
    <n v="811185"/>
    <m/>
    <n v="4"/>
    <m/>
    <x v="2"/>
    <s v=""/>
  </r>
  <r>
    <x v="64"/>
    <s v="Anjali"/>
    <x v="1"/>
    <n v="30"/>
    <s v="Manager"/>
    <x v="0"/>
    <x v="2"/>
    <x v="0"/>
    <x v="53"/>
    <d v="2026-06-20T00:00:00"/>
    <m/>
    <m/>
    <x v="1"/>
    <n v="533912"/>
    <m/>
    <n v="4"/>
    <m/>
    <x v="1"/>
    <s v=""/>
  </r>
  <r>
    <x v="65"/>
    <s v="Rohit"/>
    <x v="1"/>
    <n v="40"/>
    <s v="Manager"/>
    <x v="0"/>
    <x v="0"/>
    <x v="4"/>
    <x v="54"/>
    <d v="2026-02-09T00:00:00"/>
    <m/>
    <m/>
    <x v="5"/>
    <n v="612210"/>
    <m/>
    <n v="6"/>
    <m/>
    <x v="0"/>
    <s v=""/>
  </r>
  <r>
    <x v="66"/>
    <s v="Neha"/>
    <x v="0"/>
    <n v="32"/>
    <s v="Manager"/>
    <x v="0"/>
    <x v="2"/>
    <x v="3"/>
    <x v="49"/>
    <d v="2026-03-16T00:00:00"/>
    <m/>
    <m/>
    <x v="1"/>
    <n v="802871"/>
    <m/>
    <n v="7"/>
    <m/>
    <x v="1"/>
    <s v=""/>
  </r>
  <r>
    <x v="67"/>
    <s v="Rohit"/>
    <x v="0"/>
    <n v="25"/>
    <s v="Analyst"/>
    <x v="3"/>
    <x v="2"/>
    <x v="3"/>
    <x v="55"/>
    <d v="2026-02-09T00:00:00"/>
    <m/>
    <m/>
    <x v="0"/>
    <n v="480550"/>
    <m/>
    <n v="6"/>
    <m/>
    <x v="2"/>
    <s v=""/>
  </r>
  <r>
    <x v="68"/>
    <s v="Anjali"/>
    <x v="0"/>
    <n v="22"/>
    <s v="Developer"/>
    <x v="3"/>
    <x v="3"/>
    <x v="4"/>
    <x v="56"/>
    <d v="2026-05-23T00:00:00"/>
    <d v="2026-05-30T00:00:00"/>
    <d v="2026-06-14T00:00:00"/>
    <x v="2"/>
    <n v="737478"/>
    <n v="337570"/>
    <n v="8"/>
    <m/>
    <x v="2"/>
    <n v="27"/>
  </r>
  <r>
    <x v="69"/>
    <s v="Karan"/>
    <x v="1"/>
    <n v="34"/>
    <s v="HR Exec"/>
    <x v="1"/>
    <x v="1"/>
    <x v="4"/>
    <x v="57"/>
    <d v="2026-03-21T00:00:00"/>
    <m/>
    <m/>
    <x v="5"/>
    <n v="345371"/>
    <m/>
    <n v="9"/>
    <m/>
    <x v="2"/>
    <s v=""/>
  </r>
  <r>
    <x v="70"/>
    <s v="Sneha"/>
    <x v="0"/>
    <n v="31"/>
    <s v="Developer"/>
    <x v="3"/>
    <x v="0"/>
    <x v="1"/>
    <x v="30"/>
    <d v="2026-05-28T00:00:00"/>
    <d v="2026-06-02T00:00:00"/>
    <d v="2026-06-21T00:00:00"/>
    <x v="2"/>
    <n v="745124"/>
    <n v="922676"/>
    <n v="8"/>
    <m/>
    <x v="0"/>
    <n v="27"/>
  </r>
  <r>
    <x v="71"/>
    <s v="Neha"/>
    <x v="0"/>
    <n v="31"/>
    <s v="HR Exec"/>
    <x v="1"/>
    <x v="0"/>
    <x v="2"/>
    <x v="58"/>
    <d v="2026-06-20T00:00:00"/>
    <m/>
    <m/>
    <x v="5"/>
    <n v="612039"/>
    <m/>
    <n v="1"/>
    <m/>
    <x v="1"/>
    <s v=""/>
  </r>
  <r>
    <x v="72"/>
    <s v="Anjali"/>
    <x v="1"/>
    <n v="26"/>
    <s v="HR Exec"/>
    <x v="1"/>
    <x v="3"/>
    <x v="3"/>
    <x v="59"/>
    <d v="2026-01-11T00:00:00"/>
    <m/>
    <m/>
    <x v="1"/>
    <n v="602637"/>
    <m/>
    <n v="3"/>
    <m/>
    <x v="1"/>
    <s v=""/>
  </r>
  <r>
    <x v="73"/>
    <s v="Rohit"/>
    <x v="0"/>
    <n v="36"/>
    <s v="HR Exec"/>
    <x v="1"/>
    <x v="0"/>
    <x v="3"/>
    <x v="60"/>
    <d v="2026-06-11T00:00:00"/>
    <m/>
    <m/>
    <x v="0"/>
    <n v="476105"/>
    <m/>
    <n v="7"/>
    <m/>
    <x v="0"/>
    <s v=""/>
  </r>
  <r>
    <x v="74"/>
    <s v="Rahul"/>
    <x v="1"/>
    <n v="29"/>
    <s v="Analyst"/>
    <x v="3"/>
    <x v="0"/>
    <x v="1"/>
    <x v="61"/>
    <d v="2026-05-04T00:00:00"/>
    <d v="2026-05-11T00:00:00"/>
    <d v="2026-05-29T00:00:00"/>
    <x v="2"/>
    <n v="818700"/>
    <n v="332592"/>
    <n v="10"/>
    <m/>
    <x v="0"/>
    <n v="33"/>
  </r>
  <r>
    <x v="75"/>
    <s v="Vikas"/>
    <x v="1"/>
    <n v="37"/>
    <s v="Accountant"/>
    <x v="2"/>
    <x v="2"/>
    <x v="2"/>
    <x v="10"/>
    <d v="2026-05-12T00:00:00"/>
    <m/>
    <m/>
    <x v="4"/>
    <n v="864509"/>
    <m/>
    <n v="3"/>
    <m/>
    <x v="0"/>
    <s v=""/>
  </r>
  <r>
    <x v="76"/>
    <s v="Amit"/>
    <x v="0"/>
    <n v="33"/>
    <s v="HR Exec"/>
    <x v="1"/>
    <x v="2"/>
    <x v="2"/>
    <x v="7"/>
    <d v="2026-04-24T00:00:00"/>
    <m/>
    <m/>
    <x v="0"/>
    <n v="489925"/>
    <m/>
    <n v="4"/>
    <m/>
    <x v="0"/>
    <s v=""/>
  </r>
  <r>
    <x v="77"/>
    <s v="Amit"/>
    <x v="0"/>
    <n v="25"/>
    <s v="Analyst"/>
    <x v="3"/>
    <x v="1"/>
    <x v="1"/>
    <x v="62"/>
    <d v="2026-01-15T00:00:00"/>
    <d v="2026-01-17T00:00:00"/>
    <d v="2026-01-28T00:00:00"/>
    <x v="2"/>
    <n v="859428"/>
    <n v="510630"/>
    <n v="1"/>
    <m/>
    <x v="0"/>
    <n v="22"/>
  </r>
  <r>
    <x v="78"/>
    <s v="Karan"/>
    <x v="1"/>
    <n v="37"/>
    <s v="Accountant"/>
    <x v="2"/>
    <x v="0"/>
    <x v="1"/>
    <x v="63"/>
    <d v="2026-03-31T00:00:00"/>
    <d v="2026-04-05T00:00:00"/>
    <m/>
    <x v="6"/>
    <n v="710084"/>
    <n v="645365"/>
    <n v="10"/>
    <m/>
    <x v="0"/>
    <s v=""/>
  </r>
  <r>
    <x v="79"/>
    <s v="Sneha"/>
    <x v="1"/>
    <n v="39"/>
    <s v="Accountant"/>
    <x v="2"/>
    <x v="3"/>
    <x v="3"/>
    <x v="64"/>
    <d v="2026-02-24T00:00:00"/>
    <d v="2026-03-03T00:00:00"/>
    <m/>
    <x v="6"/>
    <n v="304794"/>
    <n v="896804"/>
    <n v="9"/>
    <m/>
    <x v="1"/>
    <s v=""/>
  </r>
  <r>
    <x v="80"/>
    <s v="Priya"/>
    <x v="1"/>
    <n v="37"/>
    <s v="Accountant"/>
    <x v="2"/>
    <x v="2"/>
    <x v="3"/>
    <x v="65"/>
    <d v="2026-06-22T00:00:00"/>
    <m/>
    <m/>
    <x v="5"/>
    <n v="876897"/>
    <m/>
    <n v="1"/>
    <m/>
    <x v="0"/>
    <s v=""/>
  </r>
  <r>
    <x v="81"/>
    <s v="Karan"/>
    <x v="1"/>
    <n v="36"/>
    <s v="HR Exec"/>
    <x v="1"/>
    <x v="0"/>
    <x v="0"/>
    <x v="66"/>
    <d v="2026-05-29T00:00:00"/>
    <m/>
    <m/>
    <x v="0"/>
    <n v="700759"/>
    <m/>
    <n v="7"/>
    <m/>
    <x v="0"/>
    <s v=""/>
  </r>
  <r>
    <x v="82"/>
    <s v="Anjali"/>
    <x v="0"/>
    <n v="21"/>
    <s v="Developer"/>
    <x v="3"/>
    <x v="1"/>
    <x v="1"/>
    <x v="45"/>
    <d v="2026-03-22T00:00:00"/>
    <d v="2026-03-24T00:00:00"/>
    <d v="2026-04-02T00:00:00"/>
    <x v="2"/>
    <n v="838959"/>
    <n v="471940"/>
    <n v="10"/>
    <m/>
    <x v="1"/>
    <n v="15"/>
  </r>
  <r>
    <x v="83"/>
    <s v="Vikas"/>
    <x v="1"/>
    <n v="33"/>
    <s v="HR Exec"/>
    <x v="1"/>
    <x v="3"/>
    <x v="4"/>
    <x v="67"/>
    <d v="2026-05-31T00:00:00"/>
    <d v="2026-06-06T00:00:00"/>
    <m/>
    <x v="6"/>
    <n v="455939"/>
    <n v="828185"/>
    <n v="6"/>
    <m/>
    <x v="1"/>
    <s v=""/>
  </r>
  <r>
    <x v="84"/>
    <s v="Amit"/>
    <x v="0"/>
    <n v="21"/>
    <s v="Analyst"/>
    <x v="3"/>
    <x v="1"/>
    <x v="1"/>
    <x v="68"/>
    <d v="2026-03-22T00:00:00"/>
    <m/>
    <m/>
    <x v="1"/>
    <n v="602932"/>
    <m/>
    <n v="6"/>
    <m/>
    <x v="1"/>
    <s v=""/>
  </r>
  <r>
    <x v="85"/>
    <s v="Anjali"/>
    <x v="1"/>
    <n v="32"/>
    <s v="Developer"/>
    <x v="3"/>
    <x v="3"/>
    <x v="2"/>
    <x v="69"/>
    <d v="2026-01-15T00:00:00"/>
    <m/>
    <m/>
    <x v="0"/>
    <n v="477965"/>
    <m/>
    <n v="10"/>
    <m/>
    <x v="2"/>
    <s v=""/>
  </r>
  <r>
    <x v="86"/>
    <s v="Pooja"/>
    <x v="1"/>
    <n v="29"/>
    <s v="HR Exec"/>
    <x v="1"/>
    <x v="1"/>
    <x v="1"/>
    <x v="70"/>
    <d v="2026-05-27T00:00:00"/>
    <d v="2026-05-31T00:00:00"/>
    <m/>
    <x v="6"/>
    <n v="823573"/>
    <n v="921562"/>
    <n v="9"/>
    <m/>
    <x v="1"/>
    <s v=""/>
  </r>
  <r>
    <x v="87"/>
    <s v="Anjali"/>
    <x v="1"/>
    <n v="22"/>
    <s v="HR Exec"/>
    <x v="1"/>
    <x v="2"/>
    <x v="4"/>
    <x v="71"/>
    <d v="2026-03-16T00:00:00"/>
    <m/>
    <m/>
    <x v="5"/>
    <n v="747667"/>
    <m/>
    <n v="10"/>
    <m/>
    <x v="2"/>
    <s v=""/>
  </r>
  <r>
    <x v="88"/>
    <s v="Sneha"/>
    <x v="0"/>
    <n v="34"/>
    <s v="Manager"/>
    <x v="0"/>
    <x v="0"/>
    <x v="4"/>
    <x v="72"/>
    <d v="2026-04-02T00:00:00"/>
    <m/>
    <m/>
    <x v="0"/>
    <n v="391369"/>
    <m/>
    <n v="6"/>
    <m/>
    <x v="2"/>
    <s v=""/>
  </r>
  <r>
    <x v="89"/>
    <s v="Rohit"/>
    <x v="1"/>
    <n v="40"/>
    <s v="Manager"/>
    <x v="0"/>
    <x v="1"/>
    <x v="0"/>
    <x v="73"/>
    <d v="2026-05-17T00:00:00"/>
    <m/>
    <m/>
    <x v="1"/>
    <n v="433895"/>
    <m/>
    <n v="6"/>
    <m/>
    <x v="2"/>
    <s v=""/>
  </r>
  <r>
    <x v="90"/>
    <s v="Karan"/>
    <x v="0"/>
    <n v="30"/>
    <s v="Developer"/>
    <x v="3"/>
    <x v="3"/>
    <x v="4"/>
    <x v="74"/>
    <d v="2026-01-16T00:00:00"/>
    <d v="2026-01-23T00:00:00"/>
    <d v="2026-02-02T00:00:00"/>
    <x v="2"/>
    <n v="557149"/>
    <n v="388094"/>
    <n v="8"/>
    <m/>
    <x v="2"/>
    <n v="24"/>
  </r>
  <r>
    <x v="91"/>
    <s v="Pooja"/>
    <x v="0"/>
    <n v="34"/>
    <s v="Developer"/>
    <x v="3"/>
    <x v="1"/>
    <x v="3"/>
    <x v="75"/>
    <d v="2026-01-26T00:00:00"/>
    <m/>
    <m/>
    <x v="3"/>
    <n v="450068"/>
    <m/>
    <n v="3"/>
    <m/>
    <x v="1"/>
    <s v=""/>
  </r>
  <r>
    <x v="92"/>
    <s v="Pooja"/>
    <x v="0"/>
    <n v="37"/>
    <s v="Analyst"/>
    <x v="3"/>
    <x v="2"/>
    <x v="0"/>
    <x v="76"/>
    <d v="2026-06-03T00:00:00"/>
    <d v="2026-06-10T00:00:00"/>
    <m/>
    <x v="6"/>
    <n v="468768"/>
    <n v="748572"/>
    <n v="5"/>
    <m/>
    <x v="0"/>
    <s v=""/>
  </r>
  <r>
    <x v="93"/>
    <s v="Rahul"/>
    <x v="1"/>
    <n v="25"/>
    <s v="Analyst"/>
    <x v="3"/>
    <x v="0"/>
    <x v="3"/>
    <x v="46"/>
    <d v="2026-03-12T00:00:00"/>
    <m/>
    <m/>
    <x v="5"/>
    <n v="846935"/>
    <m/>
    <n v="3"/>
    <m/>
    <x v="0"/>
    <s v=""/>
  </r>
  <r>
    <x v="94"/>
    <s v="Rohit"/>
    <x v="1"/>
    <n v="36"/>
    <s v="Analyst"/>
    <x v="3"/>
    <x v="2"/>
    <x v="2"/>
    <x v="77"/>
    <d v="2026-02-24T00:00:00"/>
    <m/>
    <m/>
    <x v="5"/>
    <n v="879145"/>
    <m/>
    <n v="5"/>
    <m/>
    <x v="1"/>
    <s v=""/>
  </r>
  <r>
    <x v="95"/>
    <s v="Priya"/>
    <x v="1"/>
    <n v="37"/>
    <s v="Manager"/>
    <x v="0"/>
    <x v="3"/>
    <x v="1"/>
    <x v="78"/>
    <d v="2026-05-12T00:00:00"/>
    <m/>
    <m/>
    <x v="4"/>
    <n v="676636"/>
    <m/>
    <n v="7"/>
    <m/>
    <x v="0"/>
    <s v=""/>
  </r>
  <r>
    <x v="96"/>
    <s v="Neha"/>
    <x v="0"/>
    <n v="32"/>
    <s v="HR Exec"/>
    <x v="1"/>
    <x v="3"/>
    <x v="2"/>
    <x v="43"/>
    <d v="2026-05-02T00:00:00"/>
    <m/>
    <m/>
    <x v="5"/>
    <n v="588268"/>
    <m/>
    <n v="4"/>
    <m/>
    <x v="1"/>
    <s v=""/>
  </r>
  <r>
    <x v="97"/>
    <s v="Priya"/>
    <x v="1"/>
    <n v="31"/>
    <s v="Analyst"/>
    <x v="3"/>
    <x v="3"/>
    <x v="4"/>
    <x v="51"/>
    <d v="2026-03-06T00:00:00"/>
    <m/>
    <m/>
    <x v="3"/>
    <n v="788762"/>
    <m/>
    <n v="6"/>
    <m/>
    <x v="2"/>
    <s v=""/>
  </r>
  <r>
    <x v="98"/>
    <s v="Sneha"/>
    <x v="1"/>
    <n v="24"/>
    <s v="Analyst"/>
    <x v="3"/>
    <x v="2"/>
    <x v="1"/>
    <x v="79"/>
    <d v="2026-02-12T00:00:00"/>
    <m/>
    <m/>
    <x v="3"/>
    <n v="767398"/>
    <m/>
    <n v="12"/>
    <m/>
    <x v="0"/>
    <s v=""/>
  </r>
  <r>
    <x v="99"/>
    <s v="Sneha"/>
    <x v="1"/>
    <n v="31"/>
    <s v="Manager"/>
    <x v="0"/>
    <x v="3"/>
    <x v="0"/>
    <x v="80"/>
    <d v="2026-03-29T00:00:00"/>
    <d v="2026-04-05T00:00:00"/>
    <d v="2026-04-19T00:00:00"/>
    <x v="2"/>
    <n v="444354"/>
    <n v="494261"/>
    <n v="10"/>
    <m/>
    <x v="2"/>
    <n v="28"/>
  </r>
  <r>
    <x v="100"/>
    <s v="Sneha"/>
    <x v="1"/>
    <n v="26"/>
    <s v="Accountant"/>
    <x v="2"/>
    <x v="3"/>
    <x v="3"/>
    <x v="81"/>
    <d v="2026-01-28T00:00:00"/>
    <m/>
    <m/>
    <x v="5"/>
    <n v="398688"/>
    <m/>
    <n v="3"/>
    <m/>
    <x v="0"/>
    <s v=""/>
  </r>
  <r>
    <x v="101"/>
    <s v="Rahul"/>
    <x v="0"/>
    <n v="31"/>
    <s v="HR Exec"/>
    <x v="1"/>
    <x v="3"/>
    <x v="3"/>
    <x v="82"/>
    <d v="2026-01-27T00:00:00"/>
    <d v="2026-01-31T00:00:00"/>
    <d v="2026-02-05T00:00:00"/>
    <x v="2"/>
    <n v="476846"/>
    <n v="653529"/>
    <n v="9"/>
    <m/>
    <x v="0"/>
    <n v="16"/>
  </r>
  <r>
    <x v="102"/>
    <s v="Sneha"/>
    <x v="1"/>
    <n v="33"/>
    <s v="Developer"/>
    <x v="3"/>
    <x v="0"/>
    <x v="4"/>
    <x v="56"/>
    <d v="2026-05-22T00:00:00"/>
    <m/>
    <m/>
    <x v="1"/>
    <n v="500484"/>
    <m/>
    <n v="11"/>
    <m/>
    <x v="2"/>
    <s v=""/>
  </r>
  <r>
    <x v="103"/>
    <s v="Anjali"/>
    <x v="1"/>
    <n v="30"/>
    <s v="HR Exec"/>
    <x v="1"/>
    <x v="0"/>
    <x v="0"/>
    <x v="10"/>
    <d v="2026-05-10T00:00:00"/>
    <d v="2026-05-12T00:00:00"/>
    <m/>
    <x v="6"/>
    <n v="310673"/>
    <n v="320381"/>
    <n v="2"/>
    <m/>
    <x v="1"/>
    <s v=""/>
  </r>
  <r>
    <x v="104"/>
    <s v="Sneha"/>
    <x v="1"/>
    <n v="21"/>
    <s v="HR Exec"/>
    <x v="1"/>
    <x v="2"/>
    <x v="3"/>
    <x v="83"/>
    <d v="2026-04-23T00:00:00"/>
    <m/>
    <m/>
    <x v="4"/>
    <n v="651545"/>
    <m/>
    <n v="2"/>
    <m/>
    <x v="1"/>
    <s v=""/>
  </r>
  <r>
    <x v="105"/>
    <s v="Anjali"/>
    <x v="0"/>
    <n v="22"/>
    <s v="Accountant"/>
    <x v="2"/>
    <x v="0"/>
    <x v="4"/>
    <x v="19"/>
    <d v="2026-02-04T00:00:00"/>
    <m/>
    <m/>
    <x v="5"/>
    <n v="379862"/>
    <m/>
    <n v="11"/>
    <m/>
    <x v="0"/>
    <s v=""/>
  </r>
  <r>
    <x v="106"/>
    <s v="Priya"/>
    <x v="0"/>
    <n v="37"/>
    <s v="Accountant"/>
    <x v="2"/>
    <x v="2"/>
    <x v="3"/>
    <x v="13"/>
    <d v="2026-06-30T00:00:00"/>
    <m/>
    <m/>
    <x v="5"/>
    <n v="776099"/>
    <m/>
    <n v="1"/>
    <m/>
    <x v="0"/>
    <s v=""/>
  </r>
  <r>
    <x v="107"/>
    <s v="Priya"/>
    <x v="1"/>
    <n v="23"/>
    <s v="Analyst"/>
    <x v="3"/>
    <x v="2"/>
    <x v="4"/>
    <x v="44"/>
    <d v="2026-03-09T00:00:00"/>
    <m/>
    <m/>
    <x v="4"/>
    <n v="828744"/>
    <m/>
    <n v="4"/>
    <m/>
    <x v="2"/>
    <s v=""/>
  </r>
  <r>
    <x v="108"/>
    <s v="Priya"/>
    <x v="0"/>
    <n v="39"/>
    <s v="Developer"/>
    <x v="3"/>
    <x v="2"/>
    <x v="2"/>
    <x v="20"/>
    <d v="2026-02-14T00:00:00"/>
    <m/>
    <m/>
    <x v="1"/>
    <n v="810659"/>
    <m/>
    <n v="12"/>
    <m/>
    <x v="1"/>
    <s v=""/>
  </r>
  <r>
    <x v="109"/>
    <s v="Pooja"/>
    <x v="0"/>
    <n v="40"/>
    <s v="HR Exec"/>
    <x v="1"/>
    <x v="2"/>
    <x v="3"/>
    <x v="84"/>
    <d v="2026-03-17T00:00:00"/>
    <d v="2026-03-21T00:00:00"/>
    <m/>
    <x v="6"/>
    <n v="643369"/>
    <n v="585503"/>
    <n v="12"/>
    <m/>
    <x v="1"/>
    <s v=""/>
  </r>
  <r>
    <x v="110"/>
    <s v="Neha"/>
    <x v="1"/>
    <n v="33"/>
    <s v="Analyst"/>
    <x v="3"/>
    <x v="2"/>
    <x v="4"/>
    <x v="76"/>
    <d v="2026-06-02T00:00:00"/>
    <m/>
    <m/>
    <x v="1"/>
    <n v="628606"/>
    <m/>
    <n v="2"/>
    <m/>
    <x v="0"/>
    <s v=""/>
  </r>
  <r>
    <x v="111"/>
    <s v="Amit"/>
    <x v="0"/>
    <n v="37"/>
    <s v="HR Exec"/>
    <x v="1"/>
    <x v="2"/>
    <x v="4"/>
    <x v="85"/>
    <d v="2026-07-09T00:00:00"/>
    <d v="2026-07-15T00:00:00"/>
    <m/>
    <x v="6"/>
    <n v="706574"/>
    <n v="662769"/>
    <n v="3"/>
    <m/>
    <x v="2"/>
    <s v=""/>
  </r>
  <r>
    <x v="112"/>
    <s v="Rahul"/>
    <x v="1"/>
    <n v="31"/>
    <s v="Manager"/>
    <x v="0"/>
    <x v="1"/>
    <x v="2"/>
    <x v="86"/>
    <d v="2026-03-25T00:00:00"/>
    <m/>
    <m/>
    <x v="5"/>
    <n v="585818"/>
    <m/>
    <n v="8"/>
    <m/>
    <x v="2"/>
    <s v=""/>
  </r>
  <r>
    <x v="113"/>
    <s v="Priya"/>
    <x v="0"/>
    <n v="35"/>
    <s v="Manager"/>
    <x v="0"/>
    <x v="3"/>
    <x v="3"/>
    <x v="11"/>
    <d v="2026-05-15T00:00:00"/>
    <m/>
    <m/>
    <x v="5"/>
    <n v="746811"/>
    <m/>
    <n v="12"/>
    <m/>
    <x v="1"/>
    <s v=""/>
  </r>
  <r>
    <x v="114"/>
    <s v="Rohit"/>
    <x v="1"/>
    <n v="36"/>
    <s v="HR Exec"/>
    <x v="1"/>
    <x v="3"/>
    <x v="1"/>
    <x v="87"/>
    <d v="2026-05-01T00:00:00"/>
    <m/>
    <m/>
    <x v="3"/>
    <n v="793135"/>
    <m/>
    <n v="9"/>
    <m/>
    <x v="0"/>
    <s v=""/>
  </r>
  <r>
    <x v="115"/>
    <s v="Priya"/>
    <x v="1"/>
    <n v="24"/>
    <s v="Manager"/>
    <x v="0"/>
    <x v="3"/>
    <x v="2"/>
    <x v="88"/>
    <d v="2026-05-10T00:00:00"/>
    <m/>
    <m/>
    <x v="1"/>
    <n v="809066"/>
    <m/>
    <n v="4"/>
    <m/>
    <x v="2"/>
    <s v=""/>
  </r>
  <r>
    <x v="116"/>
    <s v="Sneha"/>
    <x v="0"/>
    <n v="35"/>
    <s v="Manager"/>
    <x v="0"/>
    <x v="0"/>
    <x v="3"/>
    <x v="89"/>
    <d v="2026-03-28T00:00:00"/>
    <m/>
    <m/>
    <x v="5"/>
    <n v="565785"/>
    <m/>
    <n v="5"/>
    <m/>
    <x v="0"/>
    <s v=""/>
  </r>
  <r>
    <x v="117"/>
    <s v="Amit"/>
    <x v="1"/>
    <n v="27"/>
    <s v="Accountant"/>
    <x v="2"/>
    <x v="0"/>
    <x v="3"/>
    <x v="90"/>
    <d v="2026-06-11T00:00:00"/>
    <m/>
    <m/>
    <x v="3"/>
    <n v="812537"/>
    <m/>
    <n v="1"/>
    <m/>
    <x v="0"/>
    <s v=""/>
  </r>
  <r>
    <x v="118"/>
    <s v="Priya"/>
    <x v="1"/>
    <n v="40"/>
    <s v="Developer"/>
    <x v="3"/>
    <x v="1"/>
    <x v="0"/>
    <x v="65"/>
    <d v="2026-06-28T00:00:00"/>
    <m/>
    <m/>
    <x v="4"/>
    <n v="660597"/>
    <m/>
    <n v="10"/>
    <m/>
    <x v="0"/>
    <s v=""/>
  </r>
  <r>
    <x v="119"/>
    <s v="Amit"/>
    <x v="1"/>
    <n v="33"/>
    <s v="Analyst"/>
    <x v="3"/>
    <x v="1"/>
    <x v="3"/>
    <x v="91"/>
    <d v="2026-02-17T00:00:00"/>
    <m/>
    <m/>
    <x v="3"/>
    <n v="754015"/>
    <m/>
    <n v="9"/>
    <m/>
    <x v="1"/>
    <s v=""/>
  </r>
  <r>
    <x v="120"/>
    <s v="Vikas"/>
    <x v="1"/>
    <n v="38"/>
    <s v="Accountant"/>
    <x v="2"/>
    <x v="0"/>
    <x v="3"/>
    <x v="80"/>
    <d v="2026-03-30T00:00:00"/>
    <m/>
    <m/>
    <x v="5"/>
    <n v="330814"/>
    <m/>
    <n v="5"/>
    <m/>
    <x v="2"/>
    <s v=""/>
  </r>
  <r>
    <x v="121"/>
    <s v="Pooja"/>
    <x v="0"/>
    <n v="40"/>
    <s v="Accountant"/>
    <x v="2"/>
    <x v="1"/>
    <x v="3"/>
    <x v="92"/>
    <d v="2026-01-15T00:00:00"/>
    <m/>
    <m/>
    <x v="1"/>
    <n v="479816"/>
    <m/>
    <n v="9"/>
    <m/>
    <x v="2"/>
    <s v=""/>
  </r>
  <r>
    <x v="122"/>
    <s v="Karan"/>
    <x v="1"/>
    <n v="26"/>
    <s v="Manager"/>
    <x v="0"/>
    <x v="3"/>
    <x v="3"/>
    <x v="68"/>
    <d v="2026-03-20T00:00:00"/>
    <d v="2026-03-23T00:00:00"/>
    <m/>
    <x v="6"/>
    <n v="831581"/>
    <n v="800292"/>
    <n v="9"/>
    <m/>
    <x v="2"/>
    <s v=""/>
  </r>
  <r>
    <x v="123"/>
    <s v="Rahul"/>
    <x v="0"/>
    <n v="34"/>
    <s v="Manager"/>
    <x v="0"/>
    <x v="2"/>
    <x v="4"/>
    <x v="93"/>
    <d v="2026-06-16T00:00:00"/>
    <d v="2026-06-21T00:00:00"/>
    <m/>
    <x v="6"/>
    <n v="378695"/>
    <n v="938252"/>
    <n v="11"/>
    <m/>
    <x v="2"/>
    <s v=""/>
  </r>
  <r>
    <x v="124"/>
    <s v="Amit"/>
    <x v="0"/>
    <n v="25"/>
    <s v="HR Exec"/>
    <x v="1"/>
    <x v="1"/>
    <x v="4"/>
    <x v="94"/>
    <d v="2026-01-11T00:00:00"/>
    <m/>
    <m/>
    <x v="3"/>
    <n v="762885"/>
    <m/>
    <n v="7"/>
    <m/>
    <x v="0"/>
    <s v=""/>
  </r>
  <r>
    <x v="125"/>
    <s v="Priya"/>
    <x v="0"/>
    <n v="28"/>
    <s v="Manager"/>
    <x v="0"/>
    <x v="1"/>
    <x v="2"/>
    <x v="95"/>
    <d v="2026-04-05T00:00:00"/>
    <d v="2026-04-09T00:00:00"/>
    <m/>
    <x v="6"/>
    <n v="712207"/>
    <n v="439441"/>
    <n v="7"/>
    <m/>
    <x v="0"/>
    <s v=""/>
  </r>
  <r>
    <x v="126"/>
    <s v="Priya"/>
    <x v="0"/>
    <n v="28"/>
    <s v="Manager"/>
    <x v="0"/>
    <x v="1"/>
    <x v="0"/>
    <x v="36"/>
    <d v="2026-06-18T00:00:00"/>
    <d v="2026-06-25T00:00:00"/>
    <m/>
    <x v="6"/>
    <n v="325681"/>
    <n v="584907"/>
    <n v="10"/>
    <m/>
    <x v="1"/>
    <s v=""/>
  </r>
  <r>
    <x v="127"/>
    <s v="Karan"/>
    <x v="0"/>
    <n v="30"/>
    <s v="Analyst"/>
    <x v="3"/>
    <x v="1"/>
    <x v="1"/>
    <x v="96"/>
    <d v="2026-01-12T00:00:00"/>
    <m/>
    <m/>
    <x v="0"/>
    <n v="300057"/>
    <m/>
    <n v="4"/>
    <m/>
    <x v="2"/>
    <s v=""/>
  </r>
  <r>
    <x v="128"/>
    <s v="Karan"/>
    <x v="0"/>
    <n v="36"/>
    <s v="HR Exec"/>
    <x v="1"/>
    <x v="1"/>
    <x v="1"/>
    <x v="74"/>
    <d v="2026-01-15T00:00:00"/>
    <d v="2026-01-20T00:00:00"/>
    <m/>
    <x v="6"/>
    <n v="623212"/>
    <n v="703067"/>
    <n v="1"/>
    <m/>
    <x v="0"/>
    <s v=""/>
  </r>
  <r>
    <x v="129"/>
    <s v="Karan"/>
    <x v="0"/>
    <n v="35"/>
    <s v="HR Exec"/>
    <x v="1"/>
    <x v="2"/>
    <x v="4"/>
    <x v="54"/>
    <d v="2026-02-06T00:00:00"/>
    <m/>
    <m/>
    <x v="5"/>
    <n v="561541"/>
    <m/>
    <n v="7"/>
    <m/>
    <x v="0"/>
    <s v=""/>
  </r>
  <r>
    <x v="130"/>
    <s v="Rohit"/>
    <x v="1"/>
    <n v="34"/>
    <s v="Analyst"/>
    <x v="3"/>
    <x v="0"/>
    <x v="1"/>
    <x v="97"/>
    <d v="2026-01-28T00:00:00"/>
    <m/>
    <m/>
    <x v="0"/>
    <n v="800757"/>
    <m/>
    <n v="12"/>
    <m/>
    <x v="2"/>
    <s v=""/>
  </r>
  <r>
    <x v="131"/>
    <s v="Sneha"/>
    <x v="0"/>
    <n v="27"/>
    <s v="HR Exec"/>
    <x v="1"/>
    <x v="1"/>
    <x v="2"/>
    <x v="98"/>
    <d v="2026-05-24T00:00:00"/>
    <m/>
    <m/>
    <x v="0"/>
    <n v="838136"/>
    <m/>
    <n v="11"/>
    <m/>
    <x v="0"/>
    <s v=""/>
  </r>
  <r>
    <x v="132"/>
    <s v="Pooja"/>
    <x v="1"/>
    <n v="27"/>
    <s v="Manager"/>
    <x v="0"/>
    <x v="1"/>
    <x v="0"/>
    <x v="22"/>
    <d v="2026-01-13T00:00:00"/>
    <d v="2026-01-18T00:00:00"/>
    <d v="2026-02-02T00:00:00"/>
    <x v="2"/>
    <n v="450079"/>
    <n v="356890"/>
    <n v="11"/>
    <m/>
    <x v="1"/>
    <n v="28"/>
  </r>
  <r>
    <x v="133"/>
    <s v="Sneha"/>
    <x v="1"/>
    <n v="25"/>
    <s v="Manager"/>
    <x v="0"/>
    <x v="0"/>
    <x v="0"/>
    <x v="4"/>
    <d v="2026-07-01T00:00:00"/>
    <m/>
    <m/>
    <x v="5"/>
    <n v="306894"/>
    <m/>
    <n v="7"/>
    <m/>
    <x v="0"/>
    <s v=""/>
  </r>
  <r>
    <x v="134"/>
    <s v="Rahul"/>
    <x v="0"/>
    <n v="30"/>
    <s v="Analyst"/>
    <x v="3"/>
    <x v="2"/>
    <x v="0"/>
    <x v="99"/>
    <d v="2026-04-23T00:00:00"/>
    <m/>
    <m/>
    <x v="0"/>
    <n v="797743"/>
    <m/>
    <n v="9"/>
    <m/>
    <x v="0"/>
    <s v=""/>
  </r>
  <r>
    <x v="135"/>
    <s v="Neha"/>
    <x v="0"/>
    <n v="24"/>
    <s v="Developer"/>
    <x v="3"/>
    <x v="2"/>
    <x v="1"/>
    <x v="100"/>
    <d v="2026-03-19T00:00:00"/>
    <d v="2026-03-24T00:00:00"/>
    <m/>
    <x v="6"/>
    <n v="763315"/>
    <n v="687558"/>
    <n v="4"/>
    <m/>
    <x v="2"/>
    <s v=""/>
  </r>
  <r>
    <x v="136"/>
    <s v="Pooja"/>
    <x v="0"/>
    <n v="25"/>
    <s v="HR Exec"/>
    <x v="1"/>
    <x v="3"/>
    <x v="0"/>
    <x v="96"/>
    <d v="2026-01-09T00:00:00"/>
    <m/>
    <m/>
    <x v="4"/>
    <n v="800513"/>
    <m/>
    <n v="11"/>
    <m/>
    <x v="1"/>
    <s v=""/>
  </r>
  <r>
    <x v="137"/>
    <s v="Karan"/>
    <x v="0"/>
    <n v="23"/>
    <s v="HR Exec"/>
    <x v="1"/>
    <x v="3"/>
    <x v="1"/>
    <x v="2"/>
    <d v="2026-02-19T00:00:00"/>
    <d v="2026-02-26T00:00:00"/>
    <d v="2026-03-06T00:00:00"/>
    <x v="2"/>
    <n v="694536"/>
    <n v="442282"/>
    <n v="11"/>
    <m/>
    <x v="2"/>
    <n v="17"/>
  </r>
  <r>
    <x v="138"/>
    <s v="Sneha"/>
    <x v="1"/>
    <n v="22"/>
    <s v="Manager"/>
    <x v="0"/>
    <x v="2"/>
    <x v="4"/>
    <x v="42"/>
    <d v="2026-03-28T00:00:00"/>
    <d v="2026-04-04T00:00:00"/>
    <d v="2026-04-14T00:00:00"/>
    <x v="2"/>
    <n v="560215"/>
    <n v="481479"/>
    <n v="4"/>
    <m/>
    <x v="1"/>
    <n v="20"/>
  </r>
  <r>
    <x v="139"/>
    <s v="Pooja"/>
    <x v="1"/>
    <n v="37"/>
    <s v="Accountant"/>
    <x v="2"/>
    <x v="3"/>
    <x v="2"/>
    <x v="101"/>
    <d v="2026-06-24T00:00:00"/>
    <m/>
    <m/>
    <x v="5"/>
    <n v="829750"/>
    <m/>
    <n v="10"/>
    <m/>
    <x v="0"/>
    <s v=""/>
  </r>
  <r>
    <x v="140"/>
    <s v="Pooja"/>
    <x v="1"/>
    <n v="31"/>
    <s v="Manager"/>
    <x v="0"/>
    <x v="1"/>
    <x v="0"/>
    <x v="102"/>
    <d v="2026-02-17T00:00:00"/>
    <m/>
    <m/>
    <x v="3"/>
    <n v="350313"/>
    <m/>
    <n v="1"/>
    <m/>
    <x v="2"/>
    <s v=""/>
  </r>
  <r>
    <x v="141"/>
    <s v="Pooja"/>
    <x v="1"/>
    <n v="29"/>
    <s v="Accountant"/>
    <x v="2"/>
    <x v="2"/>
    <x v="0"/>
    <x v="34"/>
    <d v="2026-06-04T00:00:00"/>
    <m/>
    <m/>
    <x v="5"/>
    <n v="720736"/>
    <m/>
    <n v="2"/>
    <m/>
    <x v="1"/>
    <s v=""/>
  </r>
  <r>
    <x v="142"/>
    <s v="Vikas"/>
    <x v="1"/>
    <n v="25"/>
    <s v="Manager"/>
    <x v="0"/>
    <x v="1"/>
    <x v="1"/>
    <x v="103"/>
    <d v="2026-01-31T00:00:00"/>
    <d v="2026-02-06T00:00:00"/>
    <m/>
    <x v="6"/>
    <n v="802022"/>
    <n v="492833"/>
    <n v="10"/>
    <m/>
    <x v="0"/>
    <s v=""/>
  </r>
  <r>
    <x v="143"/>
    <s v="Sneha"/>
    <x v="0"/>
    <n v="28"/>
    <s v="Accountant"/>
    <x v="2"/>
    <x v="0"/>
    <x v="1"/>
    <x v="104"/>
    <d v="2026-05-05T00:00:00"/>
    <m/>
    <m/>
    <x v="5"/>
    <n v="661428"/>
    <m/>
    <n v="5"/>
    <m/>
    <x v="2"/>
    <s v=""/>
  </r>
  <r>
    <x v="144"/>
    <s v="Amit"/>
    <x v="1"/>
    <n v="33"/>
    <s v="Analyst"/>
    <x v="3"/>
    <x v="1"/>
    <x v="2"/>
    <x v="44"/>
    <d v="2026-03-07T00:00:00"/>
    <d v="2026-03-09T00:00:00"/>
    <m/>
    <x v="6"/>
    <n v="745025"/>
    <n v="343235"/>
    <n v="12"/>
    <m/>
    <x v="2"/>
    <s v=""/>
  </r>
  <r>
    <x v="145"/>
    <s v="Rohit"/>
    <x v="1"/>
    <n v="33"/>
    <s v="Accountant"/>
    <x v="2"/>
    <x v="2"/>
    <x v="3"/>
    <x v="64"/>
    <d v="2026-02-28T00:00:00"/>
    <d v="2026-03-07T00:00:00"/>
    <d v="2026-03-13T00:00:00"/>
    <x v="2"/>
    <n v="455251"/>
    <n v="410774"/>
    <n v="9"/>
    <m/>
    <x v="0"/>
    <n v="22"/>
  </r>
  <r>
    <x v="146"/>
    <s v="Priya"/>
    <x v="0"/>
    <n v="39"/>
    <s v="Accountant"/>
    <x v="2"/>
    <x v="1"/>
    <x v="2"/>
    <x v="75"/>
    <d v="2026-01-31T00:00:00"/>
    <m/>
    <m/>
    <x v="0"/>
    <n v="613996"/>
    <m/>
    <n v="9"/>
    <m/>
    <x v="1"/>
    <s v=""/>
  </r>
  <r>
    <x v="147"/>
    <s v="Karan"/>
    <x v="0"/>
    <n v="33"/>
    <s v="Developer"/>
    <x v="3"/>
    <x v="2"/>
    <x v="0"/>
    <x v="54"/>
    <d v="2026-02-10T00:00:00"/>
    <m/>
    <m/>
    <x v="0"/>
    <n v="537194"/>
    <m/>
    <n v="9"/>
    <m/>
    <x v="2"/>
    <s v=""/>
  </r>
  <r>
    <x v="148"/>
    <s v="Karan"/>
    <x v="1"/>
    <n v="40"/>
    <s v="Developer"/>
    <x v="3"/>
    <x v="0"/>
    <x v="4"/>
    <x v="105"/>
    <d v="2026-06-12T00:00:00"/>
    <m/>
    <m/>
    <x v="5"/>
    <n v="629531"/>
    <m/>
    <n v="2"/>
    <m/>
    <x v="1"/>
    <s v=""/>
  </r>
  <r>
    <x v="149"/>
    <s v="Priya"/>
    <x v="1"/>
    <n v="27"/>
    <s v="Developer"/>
    <x v="3"/>
    <x v="2"/>
    <x v="4"/>
    <x v="105"/>
    <d v="2026-06-12T00:00:00"/>
    <m/>
    <m/>
    <x v="4"/>
    <n v="696345"/>
    <m/>
    <n v="4"/>
    <m/>
    <x v="1"/>
    <s v=""/>
  </r>
  <r>
    <x v="150"/>
    <s v="Anjali"/>
    <x v="0"/>
    <n v="27"/>
    <s v="Developer"/>
    <x v="3"/>
    <x v="1"/>
    <x v="1"/>
    <x v="52"/>
    <d v="2026-03-12T00:00:00"/>
    <m/>
    <m/>
    <x v="5"/>
    <n v="761259"/>
    <m/>
    <n v="2"/>
    <m/>
    <x v="1"/>
    <s v=""/>
  </r>
  <r>
    <x v="151"/>
    <s v="Rohit"/>
    <x v="1"/>
    <n v="40"/>
    <s v="HR Exec"/>
    <x v="1"/>
    <x v="2"/>
    <x v="2"/>
    <x v="106"/>
    <d v="2026-05-09T00:00:00"/>
    <m/>
    <m/>
    <x v="3"/>
    <n v="444319"/>
    <m/>
    <n v="11"/>
    <m/>
    <x v="2"/>
    <s v=""/>
  </r>
  <r>
    <x v="152"/>
    <s v="Rahul"/>
    <x v="1"/>
    <n v="33"/>
    <s v="Manager"/>
    <x v="0"/>
    <x v="0"/>
    <x v="1"/>
    <x v="107"/>
    <d v="2026-04-02T00:00:00"/>
    <m/>
    <m/>
    <x v="3"/>
    <n v="474838"/>
    <m/>
    <n v="11"/>
    <m/>
    <x v="1"/>
    <s v=""/>
  </r>
  <r>
    <x v="153"/>
    <s v="Vikas"/>
    <x v="1"/>
    <n v="35"/>
    <s v="Manager"/>
    <x v="0"/>
    <x v="1"/>
    <x v="0"/>
    <x v="108"/>
    <d v="2026-02-17T00:00:00"/>
    <m/>
    <m/>
    <x v="3"/>
    <n v="407440"/>
    <m/>
    <n v="6"/>
    <m/>
    <x v="1"/>
    <s v=""/>
  </r>
  <r>
    <x v="154"/>
    <s v="Vikas"/>
    <x v="0"/>
    <n v="35"/>
    <s v="Developer"/>
    <x v="3"/>
    <x v="3"/>
    <x v="0"/>
    <x v="92"/>
    <d v="2026-01-17T00:00:00"/>
    <m/>
    <m/>
    <x v="4"/>
    <n v="492855"/>
    <m/>
    <n v="10"/>
    <m/>
    <x v="0"/>
    <s v=""/>
  </r>
  <r>
    <x v="155"/>
    <s v="Vikas"/>
    <x v="0"/>
    <n v="33"/>
    <s v="Analyst"/>
    <x v="3"/>
    <x v="1"/>
    <x v="3"/>
    <x v="109"/>
    <d v="2026-05-20T00:00:00"/>
    <m/>
    <m/>
    <x v="5"/>
    <n v="427738"/>
    <m/>
    <n v="7"/>
    <m/>
    <x v="1"/>
    <s v=""/>
  </r>
  <r>
    <x v="156"/>
    <s v="Amit"/>
    <x v="0"/>
    <n v="23"/>
    <s v="Manager"/>
    <x v="0"/>
    <x v="1"/>
    <x v="1"/>
    <x v="110"/>
    <d v="2026-02-11T00:00:00"/>
    <m/>
    <m/>
    <x v="3"/>
    <n v="334117"/>
    <m/>
    <n v="6"/>
    <m/>
    <x v="1"/>
    <s v=""/>
  </r>
  <r>
    <x v="157"/>
    <s v="Amit"/>
    <x v="1"/>
    <n v="24"/>
    <s v="Analyst"/>
    <x v="3"/>
    <x v="3"/>
    <x v="0"/>
    <x v="78"/>
    <d v="2026-05-08T00:00:00"/>
    <d v="2026-05-12T00:00:00"/>
    <d v="2026-05-21T00:00:00"/>
    <x v="2"/>
    <n v="390903"/>
    <n v="823290"/>
    <n v="8"/>
    <m/>
    <x v="2"/>
    <n v="18"/>
  </r>
  <r>
    <x v="158"/>
    <s v="Karan"/>
    <x v="0"/>
    <n v="29"/>
    <s v="Analyst"/>
    <x v="3"/>
    <x v="3"/>
    <x v="4"/>
    <x v="39"/>
    <d v="2026-05-17T00:00:00"/>
    <m/>
    <m/>
    <x v="0"/>
    <n v="317979"/>
    <m/>
    <n v="5"/>
    <m/>
    <x v="2"/>
    <s v=""/>
  </r>
  <r>
    <x v="159"/>
    <s v="Priya"/>
    <x v="0"/>
    <n v="21"/>
    <s v="Manager"/>
    <x v="0"/>
    <x v="1"/>
    <x v="3"/>
    <x v="76"/>
    <d v="2026-06-01T00:00:00"/>
    <m/>
    <m/>
    <x v="4"/>
    <n v="677673"/>
    <m/>
    <n v="12"/>
    <m/>
    <x v="0"/>
    <s v=""/>
  </r>
  <r>
    <x v="160"/>
    <s v="Priya"/>
    <x v="0"/>
    <n v="26"/>
    <s v="Developer"/>
    <x v="3"/>
    <x v="3"/>
    <x v="0"/>
    <x v="58"/>
    <d v="2026-06-19T00:00:00"/>
    <d v="2026-06-21T00:00:00"/>
    <d v="2026-06-30T00:00:00"/>
    <x v="2"/>
    <n v="634385"/>
    <n v="735199"/>
    <n v="3"/>
    <m/>
    <x v="1"/>
    <n v="14"/>
  </r>
  <r>
    <x v="161"/>
    <s v="Vikas"/>
    <x v="0"/>
    <n v="39"/>
    <s v="Accountant"/>
    <x v="2"/>
    <x v="0"/>
    <x v="1"/>
    <x v="82"/>
    <d v="2026-01-29T00:00:00"/>
    <m/>
    <m/>
    <x v="1"/>
    <n v="886438"/>
    <m/>
    <n v="4"/>
    <m/>
    <x v="2"/>
    <s v=""/>
  </r>
  <r>
    <x v="162"/>
    <s v="Anjali"/>
    <x v="0"/>
    <n v="36"/>
    <s v="Accountant"/>
    <x v="2"/>
    <x v="2"/>
    <x v="3"/>
    <x v="73"/>
    <d v="2026-05-09T00:00:00"/>
    <m/>
    <m/>
    <x v="1"/>
    <n v="390106"/>
    <m/>
    <n v="4"/>
    <m/>
    <x v="0"/>
    <s v=""/>
  </r>
  <r>
    <x v="163"/>
    <s v="Sneha"/>
    <x v="1"/>
    <n v="36"/>
    <s v="Analyst"/>
    <x v="3"/>
    <x v="2"/>
    <x v="4"/>
    <x v="48"/>
    <d v="2026-06-10T00:00:00"/>
    <m/>
    <m/>
    <x v="4"/>
    <n v="398600"/>
    <m/>
    <n v="7"/>
    <m/>
    <x v="1"/>
    <s v=""/>
  </r>
  <r>
    <x v="164"/>
    <s v="Neha"/>
    <x v="0"/>
    <n v="40"/>
    <s v="Developer"/>
    <x v="3"/>
    <x v="2"/>
    <x v="3"/>
    <x v="111"/>
    <d v="2026-04-14T00:00:00"/>
    <m/>
    <m/>
    <x v="5"/>
    <n v="554594"/>
    <m/>
    <n v="7"/>
    <m/>
    <x v="1"/>
    <s v=""/>
  </r>
  <r>
    <x v="165"/>
    <s v="Amit"/>
    <x v="1"/>
    <n v="27"/>
    <s v="Accountant"/>
    <x v="2"/>
    <x v="3"/>
    <x v="1"/>
    <x v="42"/>
    <d v="2026-04-04T00:00:00"/>
    <m/>
    <m/>
    <x v="5"/>
    <n v="877612"/>
    <m/>
    <n v="12"/>
    <m/>
    <x v="1"/>
    <s v=""/>
  </r>
  <r>
    <x v="166"/>
    <s v="Rahul"/>
    <x v="1"/>
    <n v="23"/>
    <s v="HR Exec"/>
    <x v="1"/>
    <x v="1"/>
    <x v="2"/>
    <x v="33"/>
    <d v="2026-02-05T00:00:00"/>
    <m/>
    <m/>
    <x v="0"/>
    <n v="774899"/>
    <m/>
    <n v="10"/>
    <m/>
    <x v="0"/>
    <s v=""/>
  </r>
  <r>
    <x v="167"/>
    <s v="Priya"/>
    <x v="0"/>
    <n v="21"/>
    <s v="Manager"/>
    <x v="0"/>
    <x v="3"/>
    <x v="4"/>
    <x v="89"/>
    <d v="2026-03-29T00:00:00"/>
    <m/>
    <m/>
    <x v="3"/>
    <n v="663833"/>
    <m/>
    <n v="3"/>
    <m/>
    <x v="0"/>
    <s v=""/>
  </r>
  <r>
    <x v="168"/>
    <s v="Priya"/>
    <x v="1"/>
    <n v="22"/>
    <s v="Analyst"/>
    <x v="3"/>
    <x v="1"/>
    <x v="3"/>
    <x v="48"/>
    <d v="2026-06-07T00:00:00"/>
    <m/>
    <m/>
    <x v="3"/>
    <n v="852171"/>
    <m/>
    <n v="12"/>
    <m/>
    <x v="0"/>
    <s v=""/>
  </r>
  <r>
    <x v="169"/>
    <s v="Sneha"/>
    <x v="0"/>
    <n v="31"/>
    <s v="Manager"/>
    <x v="0"/>
    <x v="0"/>
    <x v="2"/>
    <x v="112"/>
    <d v="2026-06-25T00:00:00"/>
    <m/>
    <m/>
    <x v="5"/>
    <n v="742200"/>
    <m/>
    <n v="5"/>
    <m/>
    <x v="1"/>
    <s v=""/>
  </r>
  <r>
    <x v="170"/>
    <s v="Pooja"/>
    <x v="0"/>
    <n v="26"/>
    <s v="Developer"/>
    <x v="3"/>
    <x v="3"/>
    <x v="0"/>
    <x v="57"/>
    <d v="2026-03-22T00:00:00"/>
    <m/>
    <m/>
    <x v="5"/>
    <n v="321633"/>
    <m/>
    <n v="9"/>
    <m/>
    <x v="2"/>
    <s v=""/>
  </r>
  <r>
    <x v="171"/>
    <s v="Anjali"/>
    <x v="0"/>
    <n v="29"/>
    <s v="HR Exec"/>
    <x v="1"/>
    <x v="1"/>
    <x v="3"/>
    <x v="113"/>
    <d v="2026-01-31T00:00:00"/>
    <m/>
    <m/>
    <x v="1"/>
    <n v="461690"/>
    <m/>
    <n v="7"/>
    <m/>
    <x v="1"/>
    <s v=""/>
  </r>
  <r>
    <x v="172"/>
    <s v="Sneha"/>
    <x v="1"/>
    <n v="33"/>
    <s v="Developer"/>
    <x v="3"/>
    <x v="2"/>
    <x v="2"/>
    <x v="1"/>
    <d v="2026-01-23T00:00:00"/>
    <d v="2026-01-28T00:00:00"/>
    <m/>
    <x v="6"/>
    <n v="667157"/>
    <n v="687742"/>
    <n v="3"/>
    <m/>
    <x v="1"/>
    <s v=""/>
  </r>
  <r>
    <x v="173"/>
    <s v="Neha"/>
    <x v="0"/>
    <n v="30"/>
    <s v="Accountant"/>
    <x v="2"/>
    <x v="1"/>
    <x v="2"/>
    <x v="114"/>
    <d v="2026-06-01T00:00:00"/>
    <m/>
    <m/>
    <x v="5"/>
    <n v="624598"/>
    <m/>
    <n v="10"/>
    <m/>
    <x v="0"/>
    <s v=""/>
  </r>
  <r>
    <x v="174"/>
    <s v="Anjali"/>
    <x v="1"/>
    <n v="38"/>
    <s v="Analyst"/>
    <x v="3"/>
    <x v="2"/>
    <x v="2"/>
    <x v="11"/>
    <d v="2026-05-09T00:00:00"/>
    <m/>
    <m/>
    <x v="0"/>
    <n v="881656"/>
    <m/>
    <n v="4"/>
    <m/>
    <x v="2"/>
    <s v=""/>
  </r>
  <r>
    <x v="175"/>
    <s v="Sneha"/>
    <x v="0"/>
    <n v="28"/>
    <s v="HR Exec"/>
    <x v="1"/>
    <x v="0"/>
    <x v="4"/>
    <x v="86"/>
    <d v="2026-03-24T00:00:00"/>
    <m/>
    <m/>
    <x v="0"/>
    <n v="386359"/>
    <m/>
    <n v="3"/>
    <m/>
    <x v="2"/>
    <s v=""/>
  </r>
  <r>
    <x v="176"/>
    <s v="Rahul"/>
    <x v="1"/>
    <n v="30"/>
    <s v="Manager"/>
    <x v="0"/>
    <x v="3"/>
    <x v="0"/>
    <x v="65"/>
    <d v="2026-06-28T00:00:00"/>
    <d v="2026-07-02T00:00:00"/>
    <d v="2026-07-09T00:00:00"/>
    <x v="2"/>
    <n v="397459"/>
    <n v="856161"/>
    <n v="12"/>
    <m/>
    <x v="0"/>
    <n v="21"/>
  </r>
  <r>
    <x v="177"/>
    <s v="Neha"/>
    <x v="0"/>
    <n v="36"/>
    <s v="HR Exec"/>
    <x v="1"/>
    <x v="2"/>
    <x v="0"/>
    <x v="8"/>
    <d v="2026-02-02T00:00:00"/>
    <d v="2026-02-08T00:00:00"/>
    <m/>
    <x v="6"/>
    <n v="334385"/>
    <n v="642375"/>
    <n v="11"/>
    <m/>
    <x v="0"/>
    <s v=""/>
  </r>
  <r>
    <x v="178"/>
    <s v="Vikas"/>
    <x v="1"/>
    <n v="40"/>
    <s v="Accountant"/>
    <x v="2"/>
    <x v="1"/>
    <x v="3"/>
    <x v="69"/>
    <d v="2026-01-20T00:00:00"/>
    <m/>
    <m/>
    <x v="5"/>
    <n v="708490"/>
    <m/>
    <n v="11"/>
    <m/>
    <x v="1"/>
    <s v=""/>
  </r>
  <r>
    <x v="179"/>
    <s v="Sneha"/>
    <x v="0"/>
    <n v="22"/>
    <s v="Developer"/>
    <x v="3"/>
    <x v="0"/>
    <x v="3"/>
    <x v="82"/>
    <d v="2026-01-25T00:00:00"/>
    <m/>
    <m/>
    <x v="3"/>
    <n v="456137"/>
    <m/>
    <n v="12"/>
    <m/>
    <x v="2"/>
    <s v=""/>
  </r>
  <r>
    <x v="180"/>
    <s v="Karan"/>
    <x v="1"/>
    <n v="35"/>
    <s v="Accountant"/>
    <x v="2"/>
    <x v="0"/>
    <x v="4"/>
    <x v="92"/>
    <d v="2026-01-15T00:00:00"/>
    <m/>
    <m/>
    <x v="1"/>
    <n v="598482"/>
    <m/>
    <n v="6"/>
    <m/>
    <x v="0"/>
    <s v=""/>
  </r>
  <r>
    <x v="181"/>
    <s v="Rohit"/>
    <x v="1"/>
    <n v="32"/>
    <s v="Developer"/>
    <x v="3"/>
    <x v="1"/>
    <x v="2"/>
    <x v="115"/>
    <d v="2026-04-24T00:00:00"/>
    <m/>
    <m/>
    <x v="1"/>
    <n v="554501"/>
    <m/>
    <n v="10"/>
    <m/>
    <x v="0"/>
    <s v=""/>
  </r>
  <r>
    <x v="182"/>
    <s v="Vikas"/>
    <x v="1"/>
    <n v="22"/>
    <s v="HR Exec"/>
    <x v="1"/>
    <x v="1"/>
    <x v="0"/>
    <x v="116"/>
    <d v="2026-04-28T00:00:00"/>
    <m/>
    <m/>
    <x v="5"/>
    <n v="843168"/>
    <m/>
    <n v="3"/>
    <m/>
    <x v="1"/>
    <s v=""/>
  </r>
  <r>
    <x v="183"/>
    <s v="Anjali"/>
    <x v="0"/>
    <n v="23"/>
    <s v="Manager"/>
    <x v="0"/>
    <x v="2"/>
    <x v="1"/>
    <x v="117"/>
    <d v="2026-01-25T00:00:00"/>
    <d v="2026-01-31T00:00:00"/>
    <m/>
    <x v="6"/>
    <n v="628118"/>
    <n v="549301"/>
    <n v="9"/>
    <m/>
    <x v="0"/>
    <s v=""/>
  </r>
  <r>
    <x v="184"/>
    <s v="Neha"/>
    <x v="0"/>
    <n v="30"/>
    <s v="Accountant"/>
    <x v="2"/>
    <x v="0"/>
    <x v="2"/>
    <x v="118"/>
    <d v="2026-06-17T00:00:00"/>
    <d v="2026-06-23T00:00:00"/>
    <m/>
    <x v="6"/>
    <n v="859798"/>
    <n v="857581"/>
    <n v="6"/>
    <m/>
    <x v="2"/>
    <s v=""/>
  </r>
  <r>
    <x v="185"/>
    <s v="Priya"/>
    <x v="0"/>
    <n v="38"/>
    <s v="Accountant"/>
    <x v="2"/>
    <x v="1"/>
    <x v="0"/>
    <x v="25"/>
    <d v="2026-03-19T00:00:00"/>
    <d v="2026-03-26T00:00:00"/>
    <d v="2026-04-03T00:00:00"/>
    <x v="2"/>
    <n v="679314"/>
    <n v="377125"/>
    <n v="11"/>
    <m/>
    <x v="1"/>
    <n v="25"/>
  </r>
  <r>
    <x v="186"/>
    <s v="Priya"/>
    <x v="0"/>
    <n v="32"/>
    <s v="Analyst"/>
    <x v="3"/>
    <x v="0"/>
    <x v="1"/>
    <x v="104"/>
    <d v="2026-04-28T00:00:00"/>
    <d v="2026-05-01T00:00:00"/>
    <m/>
    <x v="6"/>
    <n v="614459"/>
    <n v="890948"/>
    <n v="7"/>
    <m/>
    <x v="1"/>
    <s v=""/>
  </r>
  <r>
    <x v="187"/>
    <s v="Neha"/>
    <x v="0"/>
    <n v="27"/>
    <s v="Developer"/>
    <x v="3"/>
    <x v="0"/>
    <x v="1"/>
    <x v="65"/>
    <d v="2026-06-20T00:00:00"/>
    <m/>
    <m/>
    <x v="4"/>
    <n v="458683"/>
    <m/>
    <n v="9"/>
    <m/>
    <x v="0"/>
    <s v=""/>
  </r>
  <r>
    <x v="188"/>
    <s v="Rahul"/>
    <x v="1"/>
    <n v="35"/>
    <s v="Analyst"/>
    <x v="3"/>
    <x v="2"/>
    <x v="0"/>
    <x v="90"/>
    <d v="2026-06-08T00:00:00"/>
    <m/>
    <m/>
    <x v="1"/>
    <n v="318473"/>
    <m/>
    <n v="4"/>
    <m/>
    <x v="0"/>
    <s v=""/>
  </r>
  <r>
    <x v="189"/>
    <s v="Karan"/>
    <x v="0"/>
    <n v="37"/>
    <s v="Accountant"/>
    <x v="2"/>
    <x v="1"/>
    <x v="4"/>
    <x v="89"/>
    <d v="2026-04-01T00:00:00"/>
    <m/>
    <m/>
    <x v="3"/>
    <n v="564788"/>
    <m/>
    <n v="1"/>
    <m/>
    <x v="0"/>
    <s v=""/>
  </r>
  <r>
    <x v="190"/>
    <s v="Priya"/>
    <x v="0"/>
    <n v="26"/>
    <s v="HR Exec"/>
    <x v="1"/>
    <x v="0"/>
    <x v="0"/>
    <x v="20"/>
    <d v="2026-02-14T00:00:00"/>
    <d v="2026-02-16T00:00:00"/>
    <d v="2026-02-23T00:00:00"/>
    <x v="2"/>
    <n v="746828"/>
    <n v="797213"/>
    <n v="3"/>
    <m/>
    <x v="1"/>
    <n v="12"/>
  </r>
  <r>
    <x v="191"/>
    <s v="Sneha"/>
    <x v="1"/>
    <n v="40"/>
    <s v="Manager"/>
    <x v="0"/>
    <x v="0"/>
    <x v="1"/>
    <x v="97"/>
    <d v="2026-01-24T00:00:00"/>
    <m/>
    <m/>
    <x v="0"/>
    <n v="753241"/>
    <m/>
    <n v="6"/>
    <m/>
    <x v="2"/>
    <s v=""/>
  </r>
  <r>
    <x v="192"/>
    <s v="Pooja"/>
    <x v="0"/>
    <n v="28"/>
    <s v="Accountant"/>
    <x v="2"/>
    <x v="0"/>
    <x v="2"/>
    <x v="38"/>
    <d v="2026-04-24T00:00:00"/>
    <m/>
    <m/>
    <x v="1"/>
    <n v="826427"/>
    <m/>
    <n v="5"/>
    <m/>
    <x v="1"/>
    <s v=""/>
  </r>
  <r>
    <x v="193"/>
    <s v="Karan"/>
    <x v="0"/>
    <n v="28"/>
    <s v="Analyst"/>
    <x v="3"/>
    <x v="3"/>
    <x v="3"/>
    <x v="67"/>
    <d v="2026-05-28T00:00:00"/>
    <m/>
    <m/>
    <x v="3"/>
    <n v="449938"/>
    <m/>
    <n v="4"/>
    <m/>
    <x v="2"/>
    <s v=""/>
  </r>
  <r>
    <x v="194"/>
    <s v="Priya"/>
    <x v="0"/>
    <n v="22"/>
    <s v="Accountant"/>
    <x v="2"/>
    <x v="2"/>
    <x v="3"/>
    <x v="33"/>
    <d v="2026-02-03T00:00:00"/>
    <d v="2026-02-06T00:00:00"/>
    <d v="2026-02-17T00:00:00"/>
    <x v="2"/>
    <n v="802164"/>
    <n v="573679"/>
    <n v="4"/>
    <m/>
    <x v="1"/>
    <n v="21"/>
  </r>
  <r>
    <x v="195"/>
    <s v="Sneha"/>
    <x v="0"/>
    <n v="26"/>
    <s v="Accountant"/>
    <x v="2"/>
    <x v="0"/>
    <x v="3"/>
    <x v="110"/>
    <d v="2026-02-15T00:00:00"/>
    <m/>
    <m/>
    <x v="1"/>
    <n v="311309"/>
    <m/>
    <n v="11"/>
    <m/>
    <x v="1"/>
    <s v=""/>
  </r>
  <r>
    <x v="196"/>
    <s v="Rahul"/>
    <x v="1"/>
    <n v="31"/>
    <s v="Developer"/>
    <x v="3"/>
    <x v="3"/>
    <x v="2"/>
    <x v="119"/>
    <d v="2026-04-10T00:00:00"/>
    <m/>
    <m/>
    <x v="1"/>
    <n v="425473"/>
    <m/>
    <n v="4"/>
    <m/>
    <x v="1"/>
    <s v=""/>
  </r>
  <r>
    <x v="197"/>
    <s v="Priya"/>
    <x v="1"/>
    <n v="40"/>
    <s v="Analyst"/>
    <x v="3"/>
    <x v="1"/>
    <x v="0"/>
    <x v="120"/>
    <d v="2026-06-02T00:00:00"/>
    <m/>
    <m/>
    <x v="0"/>
    <n v="898112"/>
    <m/>
    <n v="7"/>
    <m/>
    <x v="1"/>
    <s v=""/>
  </r>
  <r>
    <x v="198"/>
    <s v="Priya"/>
    <x v="1"/>
    <n v="23"/>
    <s v="Analyst"/>
    <x v="3"/>
    <x v="2"/>
    <x v="1"/>
    <x v="0"/>
    <d v="2026-01-20T00:00:00"/>
    <d v="2026-01-23T00:00:00"/>
    <m/>
    <x v="6"/>
    <n v="545657"/>
    <n v="327517"/>
    <n v="1"/>
    <m/>
    <x v="0"/>
    <s v=""/>
  </r>
  <r>
    <x v="199"/>
    <s v="Amit"/>
    <x v="1"/>
    <n v="23"/>
    <s v="HR Exec"/>
    <x v="1"/>
    <x v="2"/>
    <x v="2"/>
    <x v="95"/>
    <d v="2026-04-08T00:00:00"/>
    <m/>
    <m/>
    <x v="5"/>
    <n v="524543"/>
    <m/>
    <n v="2"/>
    <m/>
    <x v="2"/>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CA4BC7-FAB0-475B-BBEC-9B263493D1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cruiters Name">
  <location ref="F16:G21" firstHeaderRow="1" firstDataRow="1" firstDataCol="1"/>
  <pivotFields count="20">
    <pivotField dataField="1" showAll="0"/>
    <pivotField showAll="0"/>
    <pivotField showAll="0"/>
    <pivotField showAll="0"/>
    <pivotField showAll="0"/>
    <pivotField showAll="0">
      <items count="5">
        <item x="2"/>
        <item x="1"/>
        <item x="3"/>
        <item x="0"/>
        <item t="default"/>
      </items>
    </pivotField>
    <pivotField axis="axisRow" showAll="0">
      <items count="5">
        <item x="1"/>
        <item x="2"/>
        <item x="3"/>
        <item x="0"/>
        <item t="default"/>
      </items>
    </pivotField>
    <pivotField showAll="0">
      <items count="6">
        <item x="3"/>
        <item x="2"/>
        <item x="4"/>
        <item x="0"/>
        <item x="1"/>
        <item t="default"/>
      </items>
    </pivotField>
    <pivotField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showAll="0">
      <items count="8">
        <item x="3"/>
        <item x="0"/>
        <item x="2"/>
        <item x="6"/>
        <item x="4"/>
        <item x="1"/>
        <item x="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fld="0" subtotal="count" baseField="0" baseItem="0"/>
  </dataFields>
  <formats count="38">
    <format dxfId="37">
      <pivotArea type="all" dataOnly="0" outline="0" fieldPosition="0"/>
    </format>
    <format dxfId="36">
      <pivotArea outline="0" collapsedLevelsAreSubtotals="1" fieldPosition="0"/>
    </format>
    <format dxfId="35">
      <pivotArea field="12" type="button" dataOnly="0" labelOnly="1" outline="0"/>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2" type="button" dataOnly="0" labelOnly="1" outline="0"/>
    </format>
    <format dxfId="29">
      <pivotArea dataOnly="0" labelOnly="1" grandRow="1" outline="0" fieldPosition="0"/>
    </format>
    <format dxfId="28">
      <pivotArea dataOnly="0" labelOnly="1" outline="0" axis="axisValues" fieldPosition="0"/>
    </format>
    <format dxfId="27">
      <pivotArea field="12" type="button" dataOnly="0" labelOnly="1" outline="0"/>
    </format>
    <format dxfId="26">
      <pivotArea dataOnly="0" labelOnly="1" outline="0" axis="axisValues" fieldPosition="0"/>
    </format>
    <format dxfId="25">
      <pivotArea dataOnly="0" labelOnly="1" grandRow="1" outline="0"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field="12" type="button" dataOnly="0" labelOnly="1" outline="0"/>
    </format>
    <format dxfId="20">
      <pivotArea dataOnly="0" labelOnly="1" outline="0" axis="axisValues"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grandRow="1" outline="0"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6" type="button" dataOnly="0" labelOnly="1" outline="0" axis="axisRow" fieldPosition="0"/>
    </format>
    <format dxfId="7">
      <pivotArea dataOnly="0" labelOnly="1" fieldPosition="0">
        <references count="1">
          <reference field="6" count="0"/>
        </references>
      </pivotArea>
    </format>
    <format dxfId="6">
      <pivotArea dataOnly="0" labelOnly="1" grandRow="1" outline="0" fieldPosition="0"/>
    </format>
    <format dxfId="5">
      <pivotArea dataOnly="0" labelOnly="1" outline="0" axis="axisValues" fieldPosition="0"/>
    </format>
    <format dxfId="4">
      <pivotArea field="6" type="button" dataOnly="0" labelOnly="1" outline="0" axis="axisRow" fieldPosition="0"/>
    </format>
    <format dxfId="3">
      <pivotArea dataOnly="0" labelOnly="1" outline="0" axis="axisValues" fieldPosition="0"/>
    </format>
    <format dxfId="2">
      <pivotArea dataOnly="0" labelOnly="1" fieldPosition="0">
        <references count="1">
          <reference field="6" count="0"/>
        </references>
      </pivotArea>
    </format>
    <format dxfId="1">
      <pivotArea dataOnly="0" labelOnly="1" grandRow="1" outline="0" fieldPosition="0"/>
    </format>
    <format dxfId="0">
      <pivotArea outline="0" collapsedLevelsAreSubtotals="1" fieldPosition="0"/>
    </format>
  </formats>
  <chartFormats count="10">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6" count="1" selected="0">
            <x v="0"/>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2"/>
          </reference>
        </references>
      </pivotArea>
    </chartFormat>
    <chartFormat chart="13" format="10">
      <pivotArea type="data" outline="0" fieldPosition="0">
        <references count="2">
          <reference field="4294967294" count="1" selected="0">
            <x v="0"/>
          </reference>
          <reference field="6" count="1" selected="0">
            <x v="3"/>
          </reference>
        </references>
      </pivotArea>
    </chartFormat>
    <chartFormat chart="11" format="1">
      <pivotArea type="data" outline="0" fieldPosition="0">
        <references count="2">
          <reference field="4294967294" count="1" selected="0">
            <x v="0"/>
          </reference>
          <reference field="6" count="1" selected="0">
            <x v="0"/>
          </reference>
        </references>
      </pivotArea>
    </chartFormat>
    <chartFormat chart="11" format="2">
      <pivotArea type="data" outline="0" fieldPosition="0">
        <references count="2">
          <reference field="4294967294" count="1" selected="0">
            <x v="0"/>
          </reference>
          <reference field="6" count="1" selected="0">
            <x v="1"/>
          </reference>
        </references>
      </pivotArea>
    </chartFormat>
    <chartFormat chart="11" format="3">
      <pivotArea type="data" outline="0" fieldPosition="0">
        <references count="2">
          <reference field="4294967294" count="1" selected="0">
            <x v="0"/>
          </reference>
          <reference field="6" count="1" selected="0">
            <x v="2"/>
          </reference>
        </references>
      </pivotArea>
    </chartFormat>
    <chartFormat chart="1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06E11-8906-4B38-9D24-22B984B2A3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 ">
  <location ref="B13:C20" firstHeaderRow="1" firstDataRow="1" firstDataCol="1"/>
  <pivotFields count="20">
    <pivotField dataField="1" showAll="0"/>
    <pivotField showAll="0"/>
    <pivotField showAll="0"/>
    <pivotField showAll="0"/>
    <pivotField showAll="0"/>
    <pivotField showAll="0">
      <items count="5">
        <item x="2"/>
        <item x="1"/>
        <item x="3"/>
        <item x="0"/>
        <item t="default"/>
      </items>
    </pivotField>
    <pivotField showAll="0"/>
    <pivotField showAll="0">
      <items count="6">
        <item x="3"/>
        <item x="2"/>
        <item x="4"/>
        <item x="0"/>
        <item x="1"/>
        <item t="default"/>
      </items>
    </pivotField>
    <pivotField axis="axisRow"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showAll="0">
      <items count="8">
        <item x="3"/>
        <item x="0"/>
        <item x="2"/>
        <item x="6"/>
        <item x="4"/>
        <item x="1"/>
        <item x="5"/>
        <item t="default"/>
      </items>
    </pivotField>
    <pivotField numFmtId="164" showAll="0"/>
    <pivotField showAll="0"/>
    <pivotField showAll="0"/>
    <pivotField showAll="0"/>
    <pivotField showAll="0"/>
    <pivotField axis="axisRow"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8"/>
  </rowFields>
  <rowItems count="7">
    <i>
      <x v="1"/>
    </i>
    <i>
      <x v="2"/>
    </i>
    <i>
      <x v="3"/>
    </i>
    <i>
      <x v="4"/>
    </i>
    <i>
      <x v="5"/>
    </i>
    <i>
      <x v="6"/>
    </i>
    <i t="grand">
      <x/>
    </i>
  </rowItems>
  <colItems count="1">
    <i/>
  </colItems>
  <dataFields count="1">
    <dataField name="Count" fld="0" subtotal="count" baseField="0" baseItem="0"/>
  </dataFields>
  <formats count="27">
    <format dxfId="64">
      <pivotArea type="all" dataOnly="0" outline="0" fieldPosition="0"/>
    </format>
    <format dxfId="63">
      <pivotArea outline="0" collapsedLevelsAreSubtotals="1" fieldPosition="0"/>
    </format>
    <format dxfId="62">
      <pivotArea field="12" type="button" dataOnly="0" labelOnly="1" outline="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2" type="button" dataOnly="0" labelOnly="1" outline="0"/>
    </format>
    <format dxfId="56">
      <pivotArea dataOnly="0" labelOnly="1" grandRow="1" outline="0" fieldPosition="0"/>
    </format>
    <format dxfId="55">
      <pivotArea dataOnly="0" labelOnly="1" outline="0" axis="axisValues" fieldPosition="0"/>
    </format>
    <format dxfId="54">
      <pivotArea field="12" type="button" dataOnly="0" labelOnly="1" outline="0"/>
    </format>
    <format dxfId="53">
      <pivotArea dataOnly="0" labelOnly="1" outline="0" axis="axisValues" fieldPosition="0"/>
    </format>
    <format dxfId="52">
      <pivotArea field="12" type="button" dataOnly="0" labelOnly="1" outline="0"/>
    </format>
    <format dxfId="51">
      <pivotArea dataOnly="0" labelOnly="1" grandRow="1" outline="0"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dataOnly="0" labelOnly="1" outline="0" axis="axisValues" fieldPosition="0"/>
    </format>
    <format dxfId="46">
      <pivotArea field="19" type="button" dataOnly="0" labelOnly="1" outline="0" axis="axisRow" fieldPosition="0"/>
    </format>
    <format dxfId="45">
      <pivotArea dataOnly="0" labelOnly="1" fieldPosition="0">
        <references count="1">
          <reference field="19" count="6">
            <x v="1"/>
            <x v="2"/>
            <x v="3"/>
            <x v="4"/>
            <x v="5"/>
            <x v="6"/>
          </reference>
        </references>
      </pivotArea>
    </format>
    <format dxfId="44">
      <pivotArea dataOnly="0" labelOnly="1" grandRow="1" outline="0" fieldPosition="0"/>
    </format>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6">
            <x v="1"/>
            <x v="2"/>
            <x v="3"/>
            <x v="4"/>
            <x v="5"/>
            <x v="6"/>
          </reference>
        </references>
      </pivotArea>
    </format>
    <format dxfId="39">
      <pivotArea dataOnly="0" labelOnly="1" grandRow="1" outline="0" fieldPosition="0"/>
    </format>
    <format dxfId="38">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B29B4F-1D1E-4EF7-85B5-DBD13FD0E3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Candidates Status ">
  <location ref="G3:H11" firstHeaderRow="1" firstDataRow="1" firstDataCol="1"/>
  <pivotFields count="20">
    <pivotField dataField="1" showAll="0"/>
    <pivotField showAll="0"/>
    <pivotField showAll="0"/>
    <pivotField showAll="0"/>
    <pivotField showAll="0"/>
    <pivotField showAll="0">
      <items count="5">
        <item x="2"/>
        <item x="1"/>
        <item x="3"/>
        <item x="0"/>
        <item t="default"/>
      </items>
    </pivotField>
    <pivotField showAll="0"/>
    <pivotField showAll="0">
      <items count="6">
        <item x="3"/>
        <item x="2"/>
        <item x="4"/>
        <item x="0"/>
        <item x="1"/>
        <item t="default"/>
      </items>
    </pivotField>
    <pivotField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axis="axisRow" showAll="0">
      <items count="8">
        <item x="3"/>
        <item x="0"/>
        <item x="2"/>
        <item x="6"/>
        <item x="4"/>
        <item x="1"/>
        <item x="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Count" fld="0" subtotal="count" baseField="12" baseItem="0"/>
  </dataFields>
  <formats count="25">
    <format dxfId="89">
      <pivotArea type="all" dataOnly="0" outline="0" fieldPosition="0"/>
    </format>
    <format dxfId="88">
      <pivotArea outline="0" collapsedLevelsAreSubtotals="1" fieldPosition="0"/>
    </format>
    <format dxfId="87">
      <pivotArea field="12" type="button" dataOnly="0" labelOnly="1" outline="0" axis="axisRow" fieldPosition="0"/>
    </format>
    <format dxfId="86">
      <pivotArea dataOnly="0" labelOnly="1" fieldPosition="0">
        <references count="1">
          <reference field="12"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2" type="button" dataOnly="0" labelOnly="1" outline="0" axis="axisRow" fieldPosition="0"/>
    </format>
    <format dxfId="80">
      <pivotArea dataOnly="0" labelOnly="1" fieldPosition="0">
        <references count="1">
          <reference field="12" count="0"/>
        </references>
      </pivotArea>
    </format>
    <format dxfId="79">
      <pivotArea dataOnly="0" labelOnly="1" grandRow="1" outline="0" fieldPosition="0"/>
    </format>
    <format dxfId="78">
      <pivotArea dataOnly="0" labelOnly="1" outline="0" axis="axisValues" fieldPosition="0"/>
    </format>
    <format dxfId="77">
      <pivotArea field="12" type="button" dataOnly="0" labelOnly="1" outline="0" axis="axisRow" fieldPosition="0"/>
    </format>
    <format dxfId="76">
      <pivotArea dataOnly="0" labelOnly="1" outline="0" axis="axisValues" fieldPosition="0"/>
    </format>
    <format dxfId="75">
      <pivotArea dataOnly="0" labelOnly="1" fieldPosition="0">
        <references count="1">
          <reference field="12" count="0"/>
        </references>
      </pivotArea>
    </format>
    <format dxfId="74">
      <pivotArea dataOnly="0" labelOnly="1" grandRow="1" outline="0" fieldPosition="0"/>
    </format>
    <format dxfId="73">
      <pivotArea outline="0" collapsedLevelsAreSubtotals="1" fieldPosition="0"/>
    </format>
    <format dxfId="72">
      <pivotArea outline="0" collapsedLevelsAreSubtotals="1" fieldPosition="0"/>
    </format>
    <format dxfId="71">
      <pivotArea dataOnly="0" labelOnly="1" fieldPosition="0">
        <references count="1">
          <reference field="12" count="0"/>
        </references>
      </pivotArea>
    </format>
    <format dxfId="70">
      <pivotArea dataOnly="0" labelOnly="1" grandRow="1" outline="0" fieldPosition="0"/>
    </format>
    <format dxfId="69">
      <pivotArea outline="0" collapsedLevelsAreSubtotals="1" fieldPosition="0"/>
    </format>
    <format dxfId="68">
      <pivotArea dataOnly="0" labelOnly="1" fieldPosition="0">
        <references count="1">
          <reference field="12" count="0"/>
        </references>
      </pivotArea>
    </format>
    <format dxfId="67">
      <pivotArea dataOnly="0" labelOnly="1" grandRow="1" outline="0" fieldPosition="0"/>
    </format>
    <format dxfId="66">
      <pivotArea field="12" type="button" dataOnly="0" labelOnly="1" outline="0" axis="axisRow" fieldPosition="0"/>
    </format>
    <format dxfId="65">
      <pivotArea dataOnly="0" labelOnly="1" outline="0" axis="axisValues" fieldPosition="0"/>
    </format>
  </formats>
  <chartFormats count="9">
    <chartFormat chart="45"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0" format="3">
      <pivotArea type="data" outline="0" fieldPosition="0">
        <references count="2">
          <reference field="4294967294" count="1" selected="0">
            <x v="0"/>
          </reference>
          <reference field="12" count="1" selected="0">
            <x v="1"/>
          </reference>
        </references>
      </pivotArea>
    </chartFormat>
    <chartFormat chart="60" format="4">
      <pivotArea type="data" outline="0" fieldPosition="0">
        <references count="2">
          <reference field="4294967294" count="1" selected="0">
            <x v="0"/>
          </reference>
          <reference field="12" count="1" selected="0">
            <x v="3"/>
          </reference>
        </references>
      </pivotArea>
    </chartFormat>
    <chartFormat chart="60" format="5">
      <pivotArea type="data" outline="0" fieldPosition="0">
        <references count="2">
          <reference field="4294967294" count="1" selected="0">
            <x v="0"/>
          </reference>
          <reference field="12" count="1" selected="0">
            <x v="5"/>
          </reference>
        </references>
      </pivotArea>
    </chartFormat>
    <chartFormat chart="60" format="6">
      <pivotArea type="data" outline="0" fieldPosition="0">
        <references count="2">
          <reference field="4294967294" count="1" selected="0">
            <x v="0"/>
          </reference>
          <reference field="12" count="1" selected="0">
            <x v="6"/>
          </reference>
        </references>
      </pivotArea>
    </chartFormat>
    <chartFormat chart="60" format="7">
      <pivotArea type="data" outline="0" fieldPosition="0">
        <references count="2">
          <reference field="4294967294" count="1" selected="0">
            <x v="0"/>
          </reference>
          <reference field="12" count="1" selected="0">
            <x v="4"/>
          </reference>
        </references>
      </pivotArea>
    </chartFormat>
    <chartFormat chart="60" format="8">
      <pivotArea type="data" outline="0" fieldPosition="0">
        <references count="2">
          <reference field="4294967294" count="1" selected="0">
            <x v="0"/>
          </reference>
          <reference field="12" count="1" selected="0">
            <x v="2"/>
          </reference>
        </references>
      </pivotArea>
    </chartFormat>
    <chartFormat chart="60"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EB594F-8910-4387-9C71-81AA270846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Names ">
  <location ref="B24:C28" firstHeaderRow="1" firstDataRow="1" firstDataCol="1"/>
  <pivotFields count="20">
    <pivotField dataField="1" showAll="0"/>
    <pivotField showAll="0"/>
    <pivotField showAll="0">
      <items count="3">
        <item x="0"/>
        <item x="1"/>
        <item t="default"/>
      </items>
    </pivotField>
    <pivotField showAll="0"/>
    <pivotField showAll="0"/>
    <pivotField showAll="0">
      <items count="5">
        <item x="2"/>
        <item x="1"/>
        <item x="3"/>
        <item x="0"/>
        <item t="default"/>
      </items>
    </pivotField>
    <pivotField showAll="0">
      <items count="5">
        <item x="1"/>
        <item x="2"/>
        <item x="3"/>
        <item x="0"/>
        <item t="default"/>
      </items>
    </pivotField>
    <pivotField showAll="0">
      <items count="6">
        <item x="3"/>
        <item x="2"/>
        <item x="4"/>
        <item x="0"/>
        <item x="1"/>
        <item t="default"/>
      </items>
    </pivotField>
    <pivotField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showAll="0">
      <items count="8">
        <item x="3"/>
        <item x="0"/>
        <item x="2"/>
        <item x="6"/>
        <item x="4"/>
        <item x="1"/>
        <item x="5"/>
        <item t="default"/>
      </items>
    </pivotField>
    <pivotField numFmtId="164" showAll="0"/>
    <pivotField showAll="0"/>
    <pivotField showAll="0"/>
    <pivotField axis="axisRow" showAll="0">
      <items count="4">
        <item x="0"/>
        <item x="2"/>
        <item x="1"/>
        <item t="default"/>
      </items>
    </pivotField>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dataFields count="1">
    <dataField name="Count" fld="0" subtotal="count" baseField="0" baseItem="0"/>
  </dataFields>
  <formats count="44">
    <format dxfId="133">
      <pivotArea type="all" dataOnly="0" outline="0" fieldPosition="0"/>
    </format>
    <format dxfId="132">
      <pivotArea outline="0" collapsedLevelsAreSubtotals="1" fieldPosition="0"/>
    </format>
    <format dxfId="131">
      <pivotArea field="12" type="button" dataOnly="0" labelOnly="1" outline="0"/>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12" type="button" dataOnly="0" labelOnly="1" outline="0"/>
    </format>
    <format dxfId="125">
      <pivotArea dataOnly="0" labelOnly="1" grandRow="1" outline="0" fieldPosition="0"/>
    </format>
    <format dxfId="124">
      <pivotArea dataOnly="0" labelOnly="1" outline="0" axis="axisValues" fieldPosition="0"/>
    </format>
    <format dxfId="123">
      <pivotArea field="12" type="button" dataOnly="0" labelOnly="1" outline="0"/>
    </format>
    <format dxfId="122">
      <pivotArea dataOnly="0" labelOnly="1" outline="0" axis="axisValues" fieldPosition="0"/>
    </format>
    <format dxfId="121">
      <pivotArea dataOnly="0" labelOnly="1" grandRow="1" outline="0"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field="12" type="button" dataOnly="0" labelOnly="1" outline="0"/>
    </format>
    <format dxfId="116">
      <pivotArea dataOnly="0" labelOnly="1" outline="0" axis="axisValues" fieldPosition="0"/>
    </format>
    <format dxfId="115">
      <pivotArea field="6" type="button" dataOnly="0" labelOnly="1" outline="0"/>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field="6" type="button" dataOnly="0" labelOnly="1" outline="0"/>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field="6" type="button" dataOnly="0" labelOnly="1" outline="0"/>
    </format>
    <format dxfId="106">
      <pivotArea dataOnly="0" labelOnly="1" grandRow="1" outline="0" fieldPosition="0"/>
    </format>
    <format dxfId="105">
      <pivotArea field="6" type="button" dataOnly="0" labelOnly="1" outline="0"/>
    </format>
    <format dxfId="104">
      <pivotArea dataOnly="0" labelOnly="1" grandRow="1" outline="0" fieldPosition="0"/>
    </format>
    <format dxfId="103">
      <pivotArea grandRow="1" outline="0" collapsedLevelsAreSubtotals="1" fieldPosition="0"/>
    </format>
    <format dxfId="102">
      <pivotArea dataOnly="0" labelOnly="1" grandRow="1" outline="0" fieldPosition="0"/>
    </format>
    <format dxfId="101">
      <pivotArea dataOnly="0" labelOnly="1" grandRow="1" outline="0" fieldPosition="0"/>
    </format>
    <format dxfId="100">
      <pivotArea field="2" type="button" dataOnly="0" labelOnly="1" outline="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2" type="button" dataOnly="0" labelOnly="1" outline="0"/>
    </format>
    <format dxfId="94">
      <pivotArea dataOnly="0" labelOnly="1" grandRow="1" outline="0" fieldPosition="0"/>
    </format>
    <format dxfId="93">
      <pivotArea dataOnly="0" labelOnly="1" outline="0" axis="axisValues" fieldPosition="0"/>
    </format>
    <format dxfId="92">
      <pivotArea dataOnly="0" labelOnly="1" fieldPosition="0">
        <references count="1">
          <reference field="16" count="0"/>
        </references>
      </pivotArea>
    </format>
    <format dxfId="91">
      <pivotArea dataOnly="0" labelOnly="1" grandRow="1" outline="0" fieldPosition="0"/>
    </format>
    <format dxfId="90">
      <pivotArea field="16" type="button" dataOnly="0" labelOnly="1" outline="0" axis="axisRow"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
          </reference>
        </references>
      </pivotArea>
    </chartFormat>
    <chartFormat chart="3" format="4">
      <pivotArea type="data" outline="0" fieldPosition="0">
        <references count="2">
          <reference field="4294967294" count="1" selected="0">
            <x v="0"/>
          </reference>
          <reference field="16" count="1" selected="0">
            <x v="0"/>
          </reference>
        </references>
      </pivotArea>
    </chartFormat>
    <chartFormat chart="3"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F94F4-AF30-467E-8B1A-7E742D4138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ource">
  <location ref="L4:M10" firstHeaderRow="1" firstDataRow="1" firstDataCol="1"/>
  <pivotFields count="20">
    <pivotField dataField="1" showAll="0"/>
    <pivotField showAll="0"/>
    <pivotField showAll="0"/>
    <pivotField showAll="0"/>
    <pivotField showAll="0"/>
    <pivotField showAll="0">
      <items count="5">
        <item x="2"/>
        <item x="1"/>
        <item x="3"/>
        <item x="0"/>
        <item t="default"/>
      </items>
    </pivotField>
    <pivotField showAll="0">
      <items count="5">
        <item x="1"/>
        <item x="2"/>
        <item x="3"/>
        <item x="0"/>
        <item t="default"/>
      </items>
    </pivotField>
    <pivotField axis="axisRow" showAll="0">
      <items count="6">
        <item x="3"/>
        <item x="2"/>
        <item x="4"/>
        <item x="0"/>
        <item x="1"/>
        <item t="default"/>
      </items>
    </pivotField>
    <pivotField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showAll="0">
      <items count="8">
        <item x="3"/>
        <item x="0"/>
        <item x="2"/>
        <item x="6"/>
        <item x="4"/>
        <item x="1"/>
        <item x="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Count" fld="0" subtotal="count" baseField="6" baseItem="0"/>
  </dataFields>
  <formats count="60">
    <format dxfId="193">
      <pivotArea type="all" dataOnly="0" outline="0" fieldPosition="0"/>
    </format>
    <format dxfId="192">
      <pivotArea outline="0" collapsedLevelsAreSubtotals="1" fieldPosition="0"/>
    </format>
    <format dxfId="191">
      <pivotArea field="12" type="button" dataOnly="0" labelOnly="1" outline="0"/>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12" type="button" dataOnly="0" labelOnly="1" outline="0"/>
    </format>
    <format dxfId="185">
      <pivotArea dataOnly="0" labelOnly="1" grandRow="1" outline="0" fieldPosition="0"/>
    </format>
    <format dxfId="184">
      <pivotArea dataOnly="0" labelOnly="1" outline="0" axis="axisValues" fieldPosition="0"/>
    </format>
    <format dxfId="183">
      <pivotArea field="12" type="button" dataOnly="0" labelOnly="1" outline="0"/>
    </format>
    <format dxfId="182">
      <pivotArea dataOnly="0" labelOnly="1" outline="0" axis="axisValues" fieldPosition="0"/>
    </format>
    <format dxfId="181">
      <pivotArea dataOnly="0" labelOnly="1" grandRow="1" outline="0"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field="12" type="button" dataOnly="0" labelOnly="1" outline="0"/>
    </format>
    <format dxfId="176">
      <pivotArea dataOnly="0" labelOnly="1" outline="0" axis="axisValues" fieldPosition="0"/>
    </format>
    <format dxfId="175">
      <pivotArea field="6" type="button" dataOnly="0" labelOnly="1" outline="0"/>
    </format>
    <format dxfId="174">
      <pivotArea dataOnly="0" labelOnly="1" grandRow="1" outline="0" fieldPosition="0"/>
    </format>
    <format dxfId="173">
      <pivotArea type="all" dataOnly="0" outline="0" fieldPosition="0"/>
    </format>
    <format dxfId="172">
      <pivotArea outline="0" collapsedLevelsAreSubtotals="1" fieldPosition="0"/>
    </format>
    <format dxfId="171">
      <pivotArea field="6" type="button" dataOnly="0" labelOnly="1" outline="0"/>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6" type="button" dataOnly="0" labelOnly="1" outline="0"/>
    </format>
    <format dxfId="165">
      <pivotArea dataOnly="0" labelOnly="1" grandRow="1" outline="0" fieldPosition="0"/>
    </format>
    <format dxfId="164">
      <pivotArea dataOnly="0" labelOnly="1" outline="0" axis="axisValues" fieldPosition="0"/>
    </format>
    <format dxfId="163">
      <pivotArea field="6" type="button" dataOnly="0" labelOnly="1" outline="0"/>
    </format>
    <format dxfId="162">
      <pivotArea dataOnly="0" labelOnly="1" outline="0" axis="axisValues" fieldPosition="0"/>
    </format>
    <format dxfId="161">
      <pivotArea dataOnly="0" labelOnly="1" grandRow="1" outline="0"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field="6" type="button" dataOnly="0" labelOnly="1" outline="0"/>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dataOnly="0" labelOnly="1" outline="0" axis="axisValues" fieldPosition="0"/>
    </format>
    <format dxfId="152">
      <pivotArea dataOnly="0" labelOnly="1" outline="0" axis="axisValues" fieldPosition="0"/>
    </format>
    <format dxfId="151">
      <pivotArea field="6" type="button" dataOnly="0" labelOnly="1" outline="0"/>
    </format>
    <format dxfId="150">
      <pivotArea dataOnly="0" labelOnly="1" outline="0" axis="axisValues" fieldPosition="0"/>
    </format>
    <format dxfId="149">
      <pivotArea outline="0" collapsedLevelsAreSubtotals="1"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6" type="button" dataOnly="0" labelOnly="1" outline="0"/>
    </format>
    <format dxfId="144">
      <pivotArea dataOnly="0" labelOnly="1" grandRow="1" outline="0" fieldPosition="0"/>
    </format>
    <format dxfId="143">
      <pivotArea dataOnly="0" labelOnly="1" outline="0" axis="axisValues" fieldPosition="0"/>
    </format>
    <format dxfId="142">
      <pivotArea dataOnly="0" labelOnly="1" fieldPosition="0">
        <references count="1">
          <reference field="7" count="0"/>
        </references>
      </pivotArea>
    </format>
    <format dxfId="141">
      <pivotArea dataOnly="0" labelOnly="1" grandRow="1" outline="0" fieldPosition="0"/>
    </format>
    <format dxfId="140">
      <pivotArea field="7" type="button" dataOnly="0" labelOnly="1" outline="0" axis="axisRow" fieldPosition="0"/>
    </format>
    <format dxfId="139">
      <pivotArea type="all" dataOnly="0" outline="0" fieldPosition="0"/>
    </format>
    <format dxfId="138">
      <pivotArea outline="0" collapsedLevelsAreSubtotals="1" fieldPosition="0"/>
    </format>
    <format dxfId="137">
      <pivotArea field="7" type="button" dataOnly="0" labelOnly="1" outline="0" axis="axisRow" fieldPosition="0"/>
    </format>
    <format dxfId="136">
      <pivotArea dataOnly="0" labelOnly="1" fieldPosition="0">
        <references count="1">
          <reference field="7" count="0"/>
        </references>
      </pivotArea>
    </format>
    <format dxfId="135">
      <pivotArea dataOnly="0" labelOnly="1" grandRow="1" outline="0" fieldPosition="0"/>
    </format>
    <format dxfId="134">
      <pivotArea dataOnly="0" labelOnly="1" outline="0" axis="axisValues" fieldPosition="0"/>
    </format>
  </formats>
  <chartFormats count="18">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3" format="4">
      <pivotArea type="data" outline="0" fieldPosition="0">
        <references count="2">
          <reference field="4294967294" count="1" selected="0">
            <x v="0"/>
          </reference>
          <reference field="7" count="1" selected="0">
            <x v="2"/>
          </reference>
        </references>
      </pivotArea>
    </chartFormat>
    <chartFormat chart="13" format="5">
      <pivotArea type="data" outline="0" fieldPosition="0">
        <references count="2">
          <reference field="4294967294" count="1" selected="0">
            <x v="0"/>
          </reference>
          <reference field="7" count="1" selected="0">
            <x v="3"/>
          </reference>
        </references>
      </pivotArea>
    </chartFormat>
    <chartFormat chart="13" format="6">
      <pivotArea type="data" outline="0" fieldPosition="0">
        <references count="2">
          <reference field="4294967294" count="1" selected="0">
            <x v="0"/>
          </reference>
          <reference field="7"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7"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2"/>
          </reference>
        </references>
      </pivotArea>
    </chartFormat>
    <chartFormat chart="15" format="11">
      <pivotArea type="data" outline="0" fieldPosition="0">
        <references count="2">
          <reference field="4294967294" count="1" selected="0">
            <x v="0"/>
          </reference>
          <reference field="7" count="1" selected="0">
            <x v="3"/>
          </reference>
        </references>
      </pivotArea>
    </chartFormat>
    <chartFormat chart="15" format="12">
      <pivotArea type="data" outline="0" fieldPosition="0">
        <references count="2">
          <reference field="4294967294" count="1" selected="0">
            <x v="0"/>
          </reference>
          <reference field="7" count="1" selected="0">
            <x v="4"/>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C4F50-F344-457C-A925-48D986E261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Genders ">
  <location ref="K19:L22" firstHeaderRow="1" firstDataRow="1" firstDataCol="1"/>
  <pivotFields count="20">
    <pivotField dataField="1" showAll="0"/>
    <pivotField showAll="0"/>
    <pivotField axis="axisRow" showAll="0">
      <items count="3">
        <item x="0"/>
        <item x="1"/>
        <item t="default"/>
      </items>
    </pivotField>
    <pivotField showAll="0"/>
    <pivotField showAll="0"/>
    <pivotField showAll="0">
      <items count="5">
        <item x="2"/>
        <item x="1"/>
        <item x="3"/>
        <item x="0"/>
        <item t="default"/>
      </items>
    </pivotField>
    <pivotField showAll="0">
      <items count="5">
        <item x="1"/>
        <item x="2"/>
        <item x="3"/>
        <item x="0"/>
        <item t="default"/>
      </items>
    </pivotField>
    <pivotField showAll="0">
      <items count="6">
        <item x="3"/>
        <item x="2"/>
        <item x="4"/>
        <item x="0"/>
        <item x="1"/>
        <item t="default"/>
      </items>
    </pivotField>
    <pivotField numFmtId="14" showAll="0">
      <items count="122">
        <item x="94"/>
        <item x="96"/>
        <item x="59"/>
        <item x="22"/>
        <item x="62"/>
        <item x="92"/>
        <item x="74"/>
        <item x="0"/>
        <item x="69"/>
        <item x="23"/>
        <item x="1"/>
        <item x="81"/>
        <item x="117"/>
        <item x="82"/>
        <item x="97"/>
        <item x="75"/>
        <item x="113"/>
        <item x="33"/>
        <item x="103"/>
        <item x="19"/>
        <item x="8"/>
        <item x="54"/>
        <item x="6"/>
        <item x="55"/>
        <item x="31"/>
        <item x="79"/>
        <item x="110"/>
        <item x="40"/>
        <item x="20"/>
        <item x="91"/>
        <item x="102"/>
        <item x="108"/>
        <item x="12"/>
        <item x="2"/>
        <item x="64"/>
        <item x="77"/>
        <item x="15"/>
        <item x="28"/>
        <item x="51"/>
        <item x="18"/>
        <item x="14"/>
        <item x="46"/>
        <item x="44"/>
        <item x="52"/>
        <item x="25"/>
        <item x="100"/>
        <item x="84"/>
        <item x="71"/>
        <item x="49"/>
        <item x="68"/>
        <item x="9"/>
        <item x="57"/>
        <item x="45"/>
        <item x="86"/>
        <item x="80"/>
        <item x="63"/>
        <item x="42"/>
        <item x="89"/>
        <item x="72"/>
        <item x="107"/>
        <item x="95"/>
        <item x="41"/>
        <item x="5"/>
        <item x="119"/>
        <item x="47"/>
        <item x="111"/>
        <item x="29"/>
        <item x="21"/>
        <item x="115"/>
        <item x="83"/>
        <item x="116"/>
        <item x="99"/>
        <item x="7"/>
        <item x="38"/>
        <item x="87"/>
        <item x="35"/>
        <item x="104"/>
        <item x="61"/>
        <item x="43"/>
        <item x="26"/>
        <item x="106"/>
        <item x="88"/>
        <item x="78"/>
        <item x="10"/>
        <item x="11"/>
        <item x="3"/>
        <item x="73"/>
        <item x="27"/>
        <item x="17"/>
        <item x="39"/>
        <item x="109"/>
        <item x="98"/>
        <item x="56"/>
        <item x="66"/>
        <item x="70"/>
        <item x="50"/>
        <item x="67"/>
        <item x="30"/>
        <item x="120"/>
        <item x="34"/>
        <item x="114"/>
        <item x="76"/>
        <item x="48"/>
        <item x="60"/>
        <item x="90"/>
        <item x="105"/>
        <item x="32"/>
        <item x="36"/>
        <item x="93"/>
        <item x="24"/>
        <item x="53"/>
        <item x="118"/>
        <item x="58"/>
        <item x="112"/>
        <item x="65"/>
        <item x="101"/>
        <item x="16"/>
        <item x="37"/>
        <item x="13"/>
        <item x="4"/>
        <item x="85"/>
        <item t="default"/>
      </items>
    </pivotField>
    <pivotField numFmtId="14" showAll="0"/>
    <pivotField showAll="0"/>
    <pivotField showAll="0"/>
    <pivotField showAll="0">
      <items count="8">
        <item x="3"/>
        <item x="0"/>
        <item x="2"/>
        <item x="6"/>
        <item x="4"/>
        <item x="1"/>
        <item x="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fld="0" subtotal="count" baseField="0" baseItem="0"/>
  </dataFields>
  <formats count="43">
    <format dxfId="236">
      <pivotArea type="all" dataOnly="0" outline="0" fieldPosition="0"/>
    </format>
    <format dxfId="235">
      <pivotArea outline="0" collapsedLevelsAreSubtotals="1" fieldPosition="0"/>
    </format>
    <format dxfId="234">
      <pivotArea field="12" type="button" dataOnly="0" labelOnly="1" outline="0"/>
    </format>
    <format dxfId="233">
      <pivotArea dataOnly="0" labelOnly="1" grandRow="1" outline="0" fieldPosition="0"/>
    </format>
    <format dxfId="232">
      <pivotArea dataOnly="0" labelOnly="1" outline="0" axis="axisValues" fieldPosition="0"/>
    </format>
    <format dxfId="231">
      <pivotArea type="all" dataOnly="0" outline="0" fieldPosition="0"/>
    </format>
    <format dxfId="230">
      <pivotArea outline="0" collapsedLevelsAreSubtotals="1" fieldPosition="0"/>
    </format>
    <format dxfId="229">
      <pivotArea field="12" type="button" dataOnly="0" labelOnly="1" outline="0"/>
    </format>
    <format dxfId="228">
      <pivotArea dataOnly="0" labelOnly="1" grandRow="1" outline="0" fieldPosition="0"/>
    </format>
    <format dxfId="227">
      <pivotArea dataOnly="0" labelOnly="1" outline="0" axis="axisValues" fieldPosition="0"/>
    </format>
    <format dxfId="226">
      <pivotArea field="12" type="button" dataOnly="0" labelOnly="1" outline="0"/>
    </format>
    <format dxfId="225">
      <pivotArea dataOnly="0" labelOnly="1" outline="0" axis="axisValues" fieldPosition="0"/>
    </format>
    <format dxfId="224">
      <pivotArea dataOnly="0" labelOnly="1" grandRow="1" outline="0" fieldPosition="0"/>
    </format>
    <format dxfId="223">
      <pivotArea outline="0" collapsedLevelsAreSubtotals="1" fieldPosition="0"/>
    </format>
    <format dxfId="222">
      <pivotArea outline="0" collapsedLevelsAreSubtotals="1" fieldPosition="0"/>
    </format>
    <format dxfId="221">
      <pivotArea outline="0" collapsedLevelsAreSubtotals="1" fieldPosition="0"/>
    </format>
    <format dxfId="220">
      <pivotArea field="12" type="button" dataOnly="0" labelOnly="1" outline="0"/>
    </format>
    <format dxfId="219">
      <pivotArea dataOnly="0" labelOnly="1" outline="0" axis="axisValues" fieldPosition="0"/>
    </format>
    <format dxfId="218">
      <pivotArea field="6" type="button" dataOnly="0" labelOnly="1" outline="0"/>
    </format>
    <format dxfId="217">
      <pivotArea dataOnly="0" labelOnly="1" grandRow="1" outline="0" fieldPosition="0"/>
    </format>
    <format dxfId="216">
      <pivotArea type="all" dataOnly="0" outline="0" fieldPosition="0"/>
    </format>
    <format dxfId="215">
      <pivotArea outline="0" collapsedLevelsAreSubtotals="1" fieldPosition="0"/>
    </format>
    <format dxfId="214">
      <pivotArea field="6" type="button" dataOnly="0" labelOnly="1" outline="0"/>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field="6" type="button" dataOnly="0" labelOnly="1" outline="0"/>
    </format>
    <format dxfId="209">
      <pivotArea dataOnly="0" labelOnly="1" grandRow="1" outline="0" fieldPosition="0"/>
    </format>
    <format dxfId="208">
      <pivotArea field="6" type="button" dataOnly="0" labelOnly="1" outline="0"/>
    </format>
    <format dxfId="207">
      <pivotArea dataOnly="0" labelOnly="1" grandRow="1" outline="0" fieldPosition="0"/>
    </format>
    <format dxfId="206">
      <pivotArea grandRow="1" outline="0" collapsedLevelsAreSubtotals="1" fieldPosition="0"/>
    </format>
    <format dxfId="205">
      <pivotArea dataOnly="0" labelOnly="1" grandRow="1" outline="0" fieldPosition="0"/>
    </format>
    <format dxfId="204">
      <pivotArea dataOnly="0" labelOnly="1" fieldPosition="0">
        <references count="1">
          <reference field="2" count="0"/>
        </references>
      </pivotArea>
    </format>
    <format dxfId="203">
      <pivotArea dataOnly="0" labelOnly="1" grandRow="1" outline="0" fieldPosition="0"/>
    </format>
    <format dxfId="202">
      <pivotArea field="2" type="button" dataOnly="0" labelOnly="1" outline="0" axis="axisRow" fieldPosition="0"/>
    </format>
    <format dxfId="201">
      <pivotArea outline="0" collapsedLevelsAreSubtotals="1"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2" type="button" dataOnly="0" labelOnly="1" outline="0" axis="axisRow" fieldPosition="0"/>
    </format>
    <format dxfId="196">
      <pivotArea dataOnly="0" labelOnly="1" fieldPosition="0">
        <references count="1">
          <reference field="2" count="0"/>
        </references>
      </pivotArea>
    </format>
    <format dxfId="195">
      <pivotArea dataOnly="0" labelOnly="1" grandRow="1" outline="0" fieldPosition="0"/>
    </format>
    <format dxfId="194">
      <pivotArea dataOnly="0" labelOnly="1" outline="0" axis="axisValues" fieldPosition="0"/>
    </format>
  </formats>
  <chartFormats count="4">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2" count="1" selected="0">
            <x v="1"/>
          </reference>
        </references>
      </pivotArea>
    </chartFormat>
    <chartFormat chart="27"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201">
    <v t="r">0</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3">
  <rv s="0">
    <v>8</v>
    <v>1</v>
  </rv>
  <rv s="1">
    <v>0</v>
  </rv>
  <rv s="2">
    <v>{0B0D0C4A-DB10-40BB-9B74-807BF32CE97F}</v>
    <v>0</v>
    <v>0</v>
    <v>1</v>
  </rv>
</rvData>
</file>

<file path=xl/richData/rdrichvaluestructure.xml><?xml version="1.0" encoding="utf-8"?>
<rvStructures xmlns="http://schemas.microsoft.com/office/spreadsheetml/2017/richdata" count="3">
  <s t="_error">
    <k n="errorType" t="i"/>
    <k n="propagated" t="b"/>
  </s>
  <s t="_array">
    <k n="array" t="a"/>
  </s>
  <s t="_datasourcecontainer">
    <k n="%XLUID" t="s"/>
    <k n="_CRID" t="i"/>
    <k n="_Display" t="spb"/>
    <k n="Experience2" t="r"/>
  </s>
</rvStructures>
</file>

<file path=xl/richData/rdsupportingpropertybag.xml><?xml version="1.0" encoding="utf-8"?>
<supportingPropertyBags xmlns="http://schemas.microsoft.com/office/spreadsheetml/2017/richdata2">
  <spbArrays count="1">
    <a count="4">
      <v t="s">Experience2</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18C8CC9-E8BA-443C-A241-07DBA525B116}" sourceName="Department">
  <pivotTables>
    <pivotTable tabId="12" name="PivotTable2"/>
    <pivotTable tabId="12" name="PivotTable3"/>
    <pivotTable tabId="12" name="PivotTable4"/>
    <pivotTable tabId="12" name="PivotTable6"/>
    <pivotTable tabId="12" name="PivotTable8"/>
    <pivotTable tabId="12" name="PivotTable9"/>
  </pivotTables>
  <data>
    <tabular pivotCacheId="47068959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00EA4FA0-BEB0-4A41-9874-0BEB8416FD42}" sourceName="Status">
  <pivotTables>
    <pivotTable tabId="12" name="PivotTable2"/>
    <pivotTable tabId="12" name="PivotTable3"/>
    <pivotTable tabId="12" name="PivotTable4"/>
    <pivotTable tabId="12" name="PivotTable6"/>
    <pivotTable tabId="12" name="PivotTable8"/>
    <pivotTable tabId="12" name="PivotTable9"/>
  </pivotTables>
  <data>
    <tabular pivotCacheId="470689598">
      <items count="7">
        <i x="3" s="1"/>
        <i x="0" s="1"/>
        <i x="2" s="1"/>
        <i x="6" s="1"/>
        <i x="4"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DC019E4C-2D8E-45C4-8E4C-3D8AE83CDC2A}" sourceName="Source">
  <pivotTables>
    <pivotTable tabId="12" name="PivotTable8"/>
    <pivotTable tabId="12" name="PivotTable2"/>
    <pivotTable tabId="12" name="PivotTable3"/>
    <pivotTable tabId="12" name="PivotTable4"/>
    <pivotTable tabId="12" name="PivotTable6"/>
    <pivotTable tabId="12" name="PivotTable9"/>
  </pivotTables>
  <data>
    <tabular pivotCacheId="470689598">
      <items count="5">
        <i x="3" s="1"/>
        <i x="2"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9B84BF9-8EEF-426C-ABAD-FC0EE51F8FD0}" cache="Slicer_Department1" caption="Department" rowHeight="257175"/>
  <slicer name="Status 1" xr10:uid="{5C445048-C7B3-45D5-9BF7-0D2F52408728}" cache="Slicer_Status1" caption="Status" rowHeight="257175"/>
  <slicer name="Source" xr10:uid="{4BA345D0-291E-4225-894F-2C8E03926BFC}" cache="Slicer_Source" caption="Sourc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S" xr10:uid="{783DF3DE-8EAC-42E6-B428-67E2432E9F8A}" cache="Slicer_Department1" caption="DEPARTMENTS" style="SlicerStyleDark1" rowHeight="257175"/>
  <slicer name="Status 2" xr10:uid="{765564A7-E580-494C-9A54-DDC36F8EBE4C}" cache="Slicer_Status1" caption="Status" style="SlicerStyleDark1" rowHeight="257175"/>
  <slicer name="Source 1" xr10:uid="{B4FA290C-4CFF-4BBE-8A91-41968EFA648F}" cache="Slicer_Source" caption="Source" startItem="1"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03FB0-F693-4179-BF6A-0C8E02620C00}" name="Table1" displayName="Table1" ref="A1:R201" totalsRowShown="0" headerRowDxfId="259" dataDxfId="257" headerRowBorderDxfId="258" tableBorderDxfId="256" totalsRowBorderDxfId="255">
  <tableColumns count="18">
    <tableColumn id="1" xr3:uid="{8648BEF2-5AA2-4E12-AE1D-6C94D9C961C5}" name="Application ID" dataDxfId="254"/>
    <tableColumn id="2" xr3:uid="{18A9D6B4-8D62-4568-8665-5A4012BA3012}" name="Candidate Name" dataDxfId="253"/>
    <tableColumn id="3" xr3:uid="{5AB71F97-6ADC-45CF-8850-BD1EBB91711B}" name="Gender" dataDxfId="252"/>
    <tableColumn id="4" xr3:uid="{F4C8907C-EC4A-4668-8E78-875C0E2D1758}" name="Age" dataDxfId="251"/>
    <tableColumn id="5" xr3:uid="{3FA678BC-6CBA-4812-BEB5-4524DB797B27}" name="Job Position" dataDxfId="250"/>
    <tableColumn id="6" xr3:uid="{316D9B16-65DE-4807-AE85-BD6C9E906A74}" name="Department" dataDxfId="249"/>
    <tableColumn id="7" xr3:uid="{6E58C0D0-B36A-4320-BE25-AFC08157FB81}" name="Recruiter" dataDxfId="248"/>
    <tableColumn id="8" xr3:uid="{A794CB7D-0256-4C21-9928-47087127A1C0}" name="Source" dataDxfId="247"/>
    <tableColumn id="9" xr3:uid="{63753803-55A4-45FD-AE08-7148AADE308C}" name="Applied Date" dataDxfId="246"/>
    <tableColumn id="10" xr3:uid="{FF47AC2E-9747-4659-95CC-7AB58BBF31F4}" name="Interview Date" dataDxfId="245"/>
    <tableColumn id="11" xr3:uid="{CEBF75D9-0BA5-41AC-A729-28E1DCCEB9A0}" name="Offer Date" dataDxfId="244"/>
    <tableColumn id="12" xr3:uid="{E589F24E-E3A3-4FAB-B8F3-ED09D4763653}" name="Joining Date" dataDxfId="243"/>
    <tableColumn id="13" xr3:uid="{BCEFCD69-6DB0-42FE-9AE0-78C73938C162}" name="Status" dataDxfId="242"/>
    <tableColumn id="14" xr3:uid="{2A1432C9-C83F-4A9C-8DCE-61323AEB04AA}" name="Expected Salary" dataDxfId="241"/>
    <tableColumn id="15" xr3:uid="{CBB7A966-D268-4190-B3AB-30833E4BD69B}" name="Offered Salary" dataDxfId="240"/>
    <tableColumn id="16" xr3:uid="{5B488004-58C7-44AC-B680-B455A435FDD5}" name="Experience" dataDxfId="239"/>
    <tableColumn id="18" xr3:uid="{E669AD24-E70E-4C91-B234-296A5B5AB0F3}" name="City" dataDxfId="238"/>
    <tableColumn id="19" xr3:uid="{CA830D62-46F5-4C52-9A67-7BEB9744F91D}" name="Time to Hire" dataDxfId="237"/>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3051D-C9B3-43D3-B8C1-34D00910D18B}">
  <dimension ref="A1:R201"/>
  <sheetViews>
    <sheetView topLeftCell="J1" zoomScaleNormal="100" workbookViewId="0">
      <selection activeCell="P1" sqref="P1"/>
    </sheetView>
  </sheetViews>
  <sheetFormatPr defaultRowHeight="14.4" x14ac:dyDescent="0.3"/>
  <cols>
    <col min="1" max="1" width="15.6640625" style="2" customWidth="1"/>
    <col min="2" max="2" width="18.109375" style="2" customWidth="1"/>
    <col min="3" max="3" width="9.88671875" style="1" customWidth="1"/>
    <col min="4" max="4" width="6.44140625" style="1" customWidth="1"/>
    <col min="5" max="6" width="14" style="1" customWidth="1"/>
    <col min="7" max="7" width="11.5546875" style="2" customWidth="1"/>
    <col min="8" max="8" width="9.44140625" style="1" customWidth="1"/>
    <col min="9" max="9" width="14.6640625" style="3" customWidth="1"/>
    <col min="10" max="10" width="16.33203125" style="3" customWidth="1"/>
    <col min="11" max="11" width="12.5546875" style="3" customWidth="1"/>
    <col min="12" max="12" width="14.109375" style="4" customWidth="1"/>
    <col min="13" max="13" width="9.5546875" style="2" bestFit="1" customWidth="1"/>
    <col min="14" max="14" width="18.33203125" style="21" customWidth="1"/>
    <col min="15" max="15" width="16.88671875" style="21" customWidth="1"/>
    <col min="16" max="16" width="13.33203125" style="2" customWidth="1"/>
    <col min="17" max="17" width="8.5546875" style="2" bestFit="1" customWidth="1"/>
    <col min="18" max="18" width="14.109375" style="2" customWidth="1"/>
  </cols>
  <sheetData>
    <row r="1" spans="1:18" s="5" customFormat="1" x14ac:dyDescent="0.3">
      <c r="A1" s="15" t="s">
        <v>0</v>
      </c>
      <c r="B1" s="6" t="s">
        <v>1</v>
      </c>
      <c r="C1" s="6" t="s">
        <v>2</v>
      </c>
      <c r="D1" s="6" t="s">
        <v>3</v>
      </c>
      <c r="E1" s="6" t="s">
        <v>4</v>
      </c>
      <c r="F1" s="6" t="s">
        <v>5</v>
      </c>
      <c r="G1" s="6" t="s">
        <v>6</v>
      </c>
      <c r="H1" s="6" t="s">
        <v>7</v>
      </c>
      <c r="I1" s="7" t="s">
        <v>8</v>
      </c>
      <c r="J1" s="7" t="s">
        <v>9</v>
      </c>
      <c r="K1" s="7" t="s">
        <v>10</v>
      </c>
      <c r="L1" s="7" t="s">
        <v>11</v>
      </c>
      <c r="M1" s="6" t="s">
        <v>12</v>
      </c>
      <c r="N1" s="18" t="s">
        <v>13</v>
      </c>
      <c r="O1" s="18" t="s">
        <v>14</v>
      </c>
      <c r="P1" s="6" t="s">
        <v>15</v>
      </c>
      <c r="Q1" s="6" t="s">
        <v>16</v>
      </c>
      <c r="R1" s="8" t="s">
        <v>17</v>
      </c>
    </row>
    <row r="2" spans="1:18" x14ac:dyDescent="0.3">
      <c r="A2" s="16" t="s">
        <v>18</v>
      </c>
      <c r="B2" s="9" t="s">
        <v>19</v>
      </c>
      <c r="C2" s="9" t="s">
        <v>20</v>
      </c>
      <c r="D2" s="9">
        <v>35</v>
      </c>
      <c r="E2" s="9" t="s">
        <v>21</v>
      </c>
      <c r="F2" s="9" t="s">
        <v>22</v>
      </c>
      <c r="G2" s="9" t="s">
        <v>23</v>
      </c>
      <c r="H2" s="9" t="s">
        <v>24</v>
      </c>
      <c r="I2" s="10">
        <v>46033</v>
      </c>
      <c r="J2" s="10">
        <v>46042</v>
      </c>
      <c r="K2" s="10"/>
      <c r="L2" s="10"/>
      <c r="M2" s="9" t="s">
        <v>25</v>
      </c>
      <c r="N2" s="19">
        <v>368252</v>
      </c>
      <c r="O2" s="19"/>
      <c r="P2" s="9">
        <v>3</v>
      </c>
      <c r="Q2" s="9" t="s">
        <v>26</v>
      </c>
      <c r="R2" s="13" t="s">
        <v>267</v>
      </c>
    </row>
    <row r="3" spans="1:18" x14ac:dyDescent="0.3">
      <c r="A3" s="16" t="s">
        <v>27</v>
      </c>
      <c r="B3" s="9" t="s">
        <v>28</v>
      </c>
      <c r="C3" s="9" t="s">
        <v>20</v>
      </c>
      <c r="D3" s="9">
        <v>28</v>
      </c>
      <c r="E3" s="9" t="s">
        <v>21</v>
      </c>
      <c r="F3" s="9" t="s">
        <v>22</v>
      </c>
      <c r="G3" s="9" t="s">
        <v>29</v>
      </c>
      <c r="H3" s="9" t="s">
        <v>30</v>
      </c>
      <c r="I3" s="10">
        <v>46039</v>
      </c>
      <c r="J3" s="10">
        <v>46049</v>
      </c>
      <c r="K3" s="10"/>
      <c r="L3" s="10"/>
      <c r="M3" s="9" t="s">
        <v>25</v>
      </c>
      <c r="N3" s="19">
        <v>438097</v>
      </c>
      <c r="O3" s="19"/>
      <c r="P3" s="9">
        <v>7</v>
      </c>
      <c r="Q3" s="9" t="s">
        <v>26</v>
      </c>
      <c r="R3" s="13" t="s">
        <v>267</v>
      </c>
    </row>
    <row r="4" spans="1:18" x14ac:dyDescent="0.3">
      <c r="A4" s="16" t="s">
        <v>31</v>
      </c>
      <c r="B4" s="9" t="s">
        <v>32</v>
      </c>
      <c r="C4" s="9" t="s">
        <v>20</v>
      </c>
      <c r="D4" s="9">
        <v>39</v>
      </c>
      <c r="E4" s="9" t="s">
        <v>21</v>
      </c>
      <c r="F4" s="9" t="s">
        <v>22</v>
      </c>
      <c r="G4" s="9" t="s">
        <v>33</v>
      </c>
      <c r="H4" s="9" t="s">
        <v>34</v>
      </c>
      <c r="I4" s="10">
        <v>46070</v>
      </c>
      <c r="J4" s="10">
        <v>46076</v>
      </c>
      <c r="K4" s="10"/>
      <c r="L4" s="10"/>
      <c r="M4" s="9" t="s">
        <v>35</v>
      </c>
      <c r="N4" s="19">
        <v>610568</v>
      </c>
      <c r="O4" s="19"/>
      <c r="P4" s="9">
        <v>4</v>
      </c>
      <c r="Q4" s="9" t="s">
        <v>26</v>
      </c>
      <c r="R4" s="13" t="s">
        <v>267</v>
      </c>
    </row>
    <row r="5" spans="1:18" x14ac:dyDescent="0.3">
      <c r="A5" s="16" t="s">
        <v>36</v>
      </c>
      <c r="B5" s="9" t="s">
        <v>37</v>
      </c>
      <c r="C5" s="9" t="s">
        <v>38</v>
      </c>
      <c r="D5" s="9">
        <v>33</v>
      </c>
      <c r="E5" s="9" t="s">
        <v>39</v>
      </c>
      <c r="F5" s="9" t="s">
        <v>40</v>
      </c>
      <c r="G5" s="9" t="s">
        <v>29</v>
      </c>
      <c r="H5" s="9" t="s">
        <v>30</v>
      </c>
      <c r="I5" s="10">
        <v>46148</v>
      </c>
      <c r="J5" s="10">
        <v>46156</v>
      </c>
      <c r="K5" s="10">
        <v>46163</v>
      </c>
      <c r="L5" s="10">
        <v>46175</v>
      </c>
      <c r="M5" s="9" t="s">
        <v>41</v>
      </c>
      <c r="N5" s="19">
        <v>555168</v>
      </c>
      <c r="O5" s="19">
        <v>940832</v>
      </c>
      <c r="P5" s="9">
        <v>3</v>
      </c>
      <c r="Q5" s="9" t="s">
        <v>42</v>
      </c>
      <c r="R5" s="13">
        <v>27</v>
      </c>
    </row>
    <row r="6" spans="1:18" x14ac:dyDescent="0.3">
      <c r="A6" s="16" t="s">
        <v>43</v>
      </c>
      <c r="B6" s="9" t="s">
        <v>19</v>
      </c>
      <c r="C6" s="9" t="s">
        <v>38</v>
      </c>
      <c r="D6" s="9">
        <v>23</v>
      </c>
      <c r="E6" s="9" t="s">
        <v>44</v>
      </c>
      <c r="F6" s="9" t="s">
        <v>45</v>
      </c>
      <c r="G6" s="9" t="s">
        <v>29</v>
      </c>
      <c r="H6" s="9" t="s">
        <v>24</v>
      </c>
      <c r="I6" s="10">
        <v>46198</v>
      </c>
      <c r="J6" s="10">
        <v>46203</v>
      </c>
      <c r="K6" s="10">
        <v>46209</v>
      </c>
      <c r="L6" s="10">
        <v>46219</v>
      </c>
      <c r="M6" s="9" t="s">
        <v>41</v>
      </c>
      <c r="N6" s="19">
        <v>804815</v>
      </c>
      <c r="O6" s="19">
        <v>461326</v>
      </c>
      <c r="P6" s="9">
        <v>5</v>
      </c>
      <c r="Q6" s="9" t="s">
        <v>46</v>
      </c>
      <c r="R6" s="13">
        <v>21</v>
      </c>
    </row>
    <row r="7" spans="1:18" x14ac:dyDescent="0.3">
      <c r="A7" s="16" t="s">
        <v>47</v>
      </c>
      <c r="B7" s="9" t="s">
        <v>48</v>
      </c>
      <c r="C7" s="9" t="s">
        <v>20</v>
      </c>
      <c r="D7" s="9">
        <v>34</v>
      </c>
      <c r="E7" s="9" t="s">
        <v>49</v>
      </c>
      <c r="F7" s="9" t="s">
        <v>50</v>
      </c>
      <c r="G7" s="9" t="s">
        <v>29</v>
      </c>
      <c r="H7" s="9" t="s">
        <v>30</v>
      </c>
      <c r="I7" s="10">
        <v>46116</v>
      </c>
      <c r="J7" s="10">
        <v>46123</v>
      </c>
      <c r="K7" s="10"/>
      <c r="L7" s="10"/>
      <c r="M7" s="9" t="s">
        <v>51</v>
      </c>
      <c r="N7" s="19">
        <v>335317</v>
      </c>
      <c r="O7" s="19"/>
      <c r="P7" s="9">
        <v>8</v>
      </c>
      <c r="Q7" s="9" t="s">
        <v>26</v>
      </c>
      <c r="R7" s="13" t="s">
        <v>267</v>
      </c>
    </row>
    <row r="8" spans="1:18" x14ac:dyDescent="0.3">
      <c r="A8" s="16" t="s">
        <v>52</v>
      </c>
      <c r="B8" s="9" t="s">
        <v>32</v>
      </c>
      <c r="C8" s="9" t="s">
        <v>20</v>
      </c>
      <c r="D8" s="9">
        <v>24</v>
      </c>
      <c r="E8" s="9" t="s">
        <v>53</v>
      </c>
      <c r="F8" s="9" t="s">
        <v>50</v>
      </c>
      <c r="G8" s="9" t="s">
        <v>29</v>
      </c>
      <c r="H8" s="9" t="s">
        <v>54</v>
      </c>
      <c r="I8" s="10">
        <v>46057</v>
      </c>
      <c r="J8" s="10">
        <v>46067</v>
      </c>
      <c r="K8" s="10"/>
      <c r="L8" s="10"/>
      <c r="M8" s="9" t="s">
        <v>35</v>
      </c>
      <c r="N8" s="19">
        <v>597328</v>
      </c>
      <c r="O8" s="19"/>
      <c r="P8" s="9">
        <v>3</v>
      </c>
      <c r="Q8" s="9" t="s">
        <v>46</v>
      </c>
      <c r="R8" s="13" t="s">
        <v>267</v>
      </c>
    </row>
    <row r="9" spans="1:18" x14ac:dyDescent="0.3">
      <c r="A9" s="16" t="s">
        <v>55</v>
      </c>
      <c r="B9" s="9" t="s">
        <v>32</v>
      </c>
      <c r="C9" s="9" t="s">
        <v>38</v>
      </c>
      <c r="D9" s="9">
        <v>29</v>
      </c>
      <c r="E9" s="9" t="s">
        <v>39</v>
      </c>
      <c r="F9" s="9" t="s">
        <v>40</v>
      </c>
      <c r="G9" s="9" t="s">
        <v>56</v>
      </c>
      <c r="H9" s="9" t="s">
        <v>57</v>
      </c>
      <c r="I9" s="10">
        <v>46133</v>
      </c>
      <c r="J9" s="10">
        <v>46140</v>
      </c>
      <c r="K9" s="10"/>
      <c r="L9" s="10"/>
      <c r="M9" s="9" t="s">
        <v>35</v>
      </c>
      <c r="N9" s="19">
        <v>821143</v>
      </c>
      <c r="O9" s="19"/>
      <c r="P9" s="9">
        <v>4</v>
      </c>
      <c r="Q9" s="9" t="s">
        <v>42</v>
      </c>
      <c r="R9" s="13"/>
    </row>
    <row r="10" spans="1:18" x14ac:dyDescent="0.3">
      <c r="A10" s="16" t="s">
        <v>58</v>
      </c>
      <c r="B10" s="9" t="s">
        <v>59</v>
      </c>
      <c r="C10" s="9" t="s">
        <v>20</v>
      </c>
      <c r="D10" s="9">
        <v>40</v>
      </c>
      <c r="E10" s="9" t="s">
        <v>53</v>
      </c>
      <c r="F10" s="9" t="s">
        <v>50</v>
      </c>
      <c r="G10" s="9" t="s">
        <v>56</v>
      </c>
      <c r="H10" s="9" t="s">
        <v>30</v>
      </c>
      <c r="I10" s="10">
        <v>46053</v>
      </c>
      <c r="J10" s="10">
        <v>46057</v>
      </c>
      <c r="K10" s="10"/>
      <c r="L10" s="10"/>
      <c r="M10" s="9" t="s">
        <v>60</v>
      </c>
      <c r="N10" s="19">
        <v>587195</v>
      </c>
      <c r="O10" s="19"/>
      <c r="P10" s="9">
        <v>6</v>
      </c>
      <c r="Q10" s="9" t="s">
        <v>42</v>
      </c>
      <c r="R10" s="13" t="s">
        <v>267</v>
      </c>
    </row>
    <row r="11" spans="1:18" x14ac:dyDescent="0.3">
      <c r="A11" s="16" t="s">
        <v>61</v>
      </c>
      <c r="B11" s="9" t="s">
        <v>48</v>
      </c>
      <c r="C11" s="9" t="s">
        <v>20</v>
      </c>
      <c r="D11" s="9">
        <v>24</v>
      </c>
      <c r="E11" s="9" t="s">
        <v>39</v>
      </c>
      <c r="F11" s="9" t="s">
        <v>40</v>
      </c>
      <c r="G11" s="9" t="s">
        <v>33</v>
      </c>
      <c r="H11" s="9" t="s">
        <v>54</v>
      </c>
      <c r="I11" s="10">
        <v>46097</v>
      </c>
      <c r="J11" s="10">
        <v>46102</v>
      </c>
      <c r="K11" s="10"/>
      <c r="L11" s="10"/>
      <c r="M11" s="9" t="s">
        <v>51</v>
      </c>
      <c r="N11" s="19">
        <v>875980</v>
      </c>
      <c r="O11" s="19"/>
      <c r="P11" s="9">
        <v>8</v>
      </c>
      <c r="Q11" s="9" t="s">
        <v>42</v>
      </c>
      <c r="R11" s="13" t="s">
        <v>267</v>
      </c>
    </row>
    <row r="12" spans="1:18" x14ac:dyDescent="0.3">
      <c r="A12" s="16" t="s">
        <v>62</v>
      </c>
      <c r="B12" s="9" t="s">
        <v>37</v>
      </c>
      <c r="C12" s="9" t="s">
        <v>20</v>
      </c>
      <c r="D12" s="9">
        <v>34</v>
      </c>
      <c r="E12" s="9" t="s">
        <v>21</v>
      </c>
      <c r="F12" s="9" t="s">
        <v>22</v>
      </c>
      <c r="G12" s="9" t="s">
        <v>33</v>
      </c>
      <c r="H12" s="9" t="s">
        <v>24</v>
      </c>
      <c r="I12" s="10">
        <v>46146</v>
      </c>
      <c r="J12" s="10">
        <v>46150</v>
      </c>
      <c r="K12" s="10"/>
      <c r="L12" s="10"/>
      <c r="M12" s="9" t="s">
        <v>35</v>
      </c>
      <c r="N12" s="19">
        <v>406375</v>
      </c>
      <c r="O12" s="19"/>
      <c r="P12" s="9">
        <v>4</v>
      </c>
      <c r="Q12" s="9" t="s">
        <v>42</v>
      </c>
      <c r="R12" s="13" t="s">
        <v>267</v>
      </c>
    </row>
    <row r="13" spans="1:18" x14ac:dyDescent="0.3">
      <c r="A13" s="16" t="s">
        <v>63</v>
      </c>
      <c r="B13" s="9" t="s">
        <v>32</v>
      </c>
      <c r="C13" s="9" t="s">
        <v>38</v>
      </c>
      <c r="D13" s="9">
        <v>26</v>
      </c>
      <c r="E13" s="9" t="s">
        <v>53</v>
      </c>
      <c r="F13" s="9" t="s">
        <v>50</v>
      </c>
      <c r="G13" s="9" t="s">
        <v>23</v>
      </c>
      <c r="H13" s="9" t="s">
        <v>34</v>
      </c>
      <c r="I13" s="10">
        <v>46147</v>
      </c>
      <c r="J13" s="10">
        <v>46150</v>
      </c>
      <c r="K13" s="10">
        <v>46152</v>
      </c>
      <c r="L13" s="10">
        <v>46168</v>
      </c>
      <c r="M13" s="9" t="s">
        <v>41</v>
      </c>
      <c r="N13" s="19">
        <v>490750</v>
      </c>
      <c r="O13" s="19">
        <v>453255</v>
      </c>
      <c r="P13" s="9">
        <v>6</v>
      </c>
      <c r="Q13" s="9" t="s">
        <v>46</v>
      </c>
      <c r="R13" s="13">
        <v>21</v>
      </c>
    </row>
    <row r="14" spans="1:18" x14ac:dyDescent="0.3">
      <c r="A14" s="16" t="s">
        <v>64</v>
      </c>
      <c r="B14" s="9" t="s">
        <v>59</v>
      </c>
      <c r="C14" s="9" t="s">
        <v>20</v>
      </c>
      <c r="D14" s="9">
        <v>36</v>
      </c>
      <c r="E14" s="9" t="s">
        <v>53</v>
      </c>
      <c r="F14" s="9" t="s">
        <v>50</v>
      </c>
      <c r="G14" s="9" t="s">
        <v>29</v>
      </c>
      <c r="H14" s="9" t="s">
        <v>30</v>
      </c>
      <c r="I14" s="10">
        <v>46069</v>
      </c>
      <c r="J14" s="10">
        <v>46078</v>
      </c>
      <c r="K14" s="10"/>
      <c r="L14" s="10"/>
      <c r="M14" s="9" t="s">
        <v>51</v>
      </c>
      <c r="N14" s="19">
        <v>710140</v>
      </c>
      <c r="O14" s="19"/>
      <c r="P14" s="9">
        <v>1</v>
      </c>
      <c r="Q14" s="9" t="s">
        <v>26</v>
      </c>
      <c r="R14" s="13" t="s">
        <v>267</v>
      </c>
    </row>
    <row r="15" spans="1:18" x14ac:dyDescent="0.3">
      <c r="A15" s="16" t="s">
        <v>65</v>
      </c>
      <c r="B15" s="9" t="s">
        <v>28</v>
      </c>
      <c r="C15" s="9" t="s">
        <v>20</v>
      </c>
      <c r="D15" s="9">
        <v>30</v>
      </c>
      <c r="E15" s="9" t="s">
        <v>53</v>
      </c>
      <c r="F15" s="9" t="s">
        <v>50</v>
      </c>
      <c r="G15" s="9" t="s">
        <v>29</v>
      </c>
      <c r="H15" s="9" t="s">
        <v>24</v>
      </c>
      <c r="I15" s="10">
        <v>46197</v>
      </c>
      <c r="J15" s="10">
        <v>46206</v>
      </c>
      <c r="K15" s="10"/>
      <c r="L15" s="10"/>
      <c r="M15" s="9" t="s">
        <v>51</v>
      </c>
      <c r="N15" s="19">
        <v>752488</v>
      </c>
      <c r="O15" s="19"/>
      <c r="P15" s="9">
        <v>6</v>
      </c>
      <c r="Q15" s="9" t="s">
        <v>42</v>
      </c>
      <c r="R15" s="13" t="s">
        <v>267</v>
      </c>
    </row>
    <row r="16" spans="1:18" x14ac:dyDescent="0.3">
      <c r="A16" s="16" t="s">
        <v>66</v>
      </c>
      <c r="B16" s="9" t="s">
        <v>19</v>
      </c>
      <c r="C16" s="9" t="s">
        <v>20</v>
      </c>
      <c r="D16" s="9">
        <v>36</v>
      </c>
      <c r="E16" s="9" t="s">
        <v>21</v>
      </c>
      <c r="F16" s="9" t="s">
        <v>22</v>
      </c>
      <c r="G16" s="9" t="s">
        <v>23</v>
      </c>
      <c r="H16" s="9" t="s">
        <v>57</v>
      </c>
      <c r="I16" s="10">
        <v>46083</v>
      </c>
      <c r="J16" s="10">
        <v>46090</v>
      </c>
      <c r="K16" s="10"/>
      <c r="L16" s="10"/>
      <c r="M16" s="9" t="s">
        <v>25</v>
      </c>
      <c r="N16" s="19">
        <v>739769</v>
      </c>
      <c r="O16" s="19"/>
      <c r="P16" s="9">
        <v>1</v>
      </c>
      <c r="Q16" s="9" t="s">
        <v>42</v>
      </c>
      <c r="R16" s="13" t="s">
        <v>267</v>
      </c>
    </row>
    <row r="17" spans="1:18" x14ac:dyDescent="0.3">
      <c r="A17" s="16" t="s">
        <v>67</v>
      </c>
      <c r="B17" s="9" t="s">
        <v>37</v>
      </c>
      <c r="C17" s="9" t="s">
        <v>20</v>
      </c>
      <c r="D17" s="9">
        <v>34</v>
      </c>
      <c r="E17" s="9" t="s">
        <v>39</v>
      </c>
      <c r="F17" s="9" t="s">
        <v>40</v>
      </c>
      <c r="G17" s="9" t="s">
        <v>23</v>
      </c>
      <c r="H17" s="9" t="s">
        <v>57</v>
      </c>
      <c r="I17" s="10">
        <v>46077</v>
      </c>
      <c r="J17" s="10">
        <v>46081</v>
      </c>
      <c r="K17" s="10"/>
      <c r="L17" s="10"/>
      <c r="M17" s="9" t="s">
        <v>35</v>
      </c>
      <c r="N17" s="19">
        <v>382570</v>
      </c>
      <c r="O17" s="19"/>
      <c r="P17" s="9">
        <v>4</v>
      </c>
      <c r="Q17" s="9" t="s">
        <v>42</v>
      </c>
      <c r="R17" s="13" t="s">
        <v>267</v>
      </c>
    </row>
    <row r="18" spans="1:18" x14ac:dyDescent="0.3">
      <c r="A18" s="16" t="s">
        <v>68</v>
      </c>
      <c r="B18" s="9" t="s">
        <v>59</v>
      </c>
      <c r="C18" s="9" t="s">
        <v>38</v>
      </c>
      <c r="D18" s="9">
        <v>32</v>
      </c>
      <c r="E18" s="9" t="s">
        <v>44</v>
      </c>
      <c r="F18" s="9" t="s">
        <v>45</v>
      </c>
      <c r="G18" s="9" t="s">
        <v>33</v>
      </c>
      <c r="H18" s="9" t="s">
        <v>54</v>
      </c>
      <c r="I18" s="10">
        <v>46193</v>
      </c>
      <c r="J18" s="10">
        <v>46200</v>
      </c>
      <c r="K18" s="10"/>
      <c r="L18" s="10"/>
      <c r="M18" s="9" t="s">
        <v>35</v>
      </c>
      <c r="N18" s="19">
        <v>855646</v>
      </c>
      <c r="O18" s="19"/>
      <c r="P18" s="9">
        <v>11</v>
      </c>
      <c r="Q18" s="9" t="s">
        <v>42</v>
      </c>
      <c r="R18" s="13" t="s">
        <v>267</v>
      </c>
    </row>
    <row r="19" spans="1:18" x14ac:dyDescent="0.3">
      <c r="A19" s="16" t="s">
        <v>69</v>
      </c>
      <c r="B19" s="9" t="s">
        <v>48</v>
      </c>
      <c r="C19" s="9" t="s">
        <v>38</v>
      </c>
      <c r="D19" s="9">
        <v>21</v>
      </c>
      <c r="E19" s="9" t="s">
        <v>21</v>
      </c>
      <c r="F19" s="9" t="s">
        <v>22</v>
      </c>
      <c r="G19" s="9" t="s">
        <v>56</v>
      </c>
      <c r="H19" s="9" t="s">
        <v>54</v>
      </c>
      <c r="I19" s="10">
        <v>46151</v>
      </c>
      <c r="J19" s="10">
        <v>46160</v>
      </c>
      <c r="K19" s="10"/>
      <c r="L19" s="10"/>
      <c r="M19" s="9" t="s">
        <v>70</v>
      </c>
      <c r="N19" s="19">
        <v>819776</v>
      </c>
      <c r="O19" s="19"/>
      <c r="P19" s="9">
        <v>5</v>
      </c>
      <c r="Q19" s="9" t="s">
        <v>42</v>
      </c>
      <c r="R19" s="13" t="s">
        <v>267</v>
      </c>
    </row>
    <row r="20" spans="1:18" x14ac:dyDescent="0.3">
      <c r="A20" s="16" t="s">
        <v>71</v>
      </c>
      <c r="B20" s="9" t="s">
        <v>59</v>
      </c>
      <c r="C20" s="9" t="s">
        <v>20</v>
      </c>
      <c r="D20" s="9">
        <v>35</v>
      </c>
      <c r="E20" s="9" t="s">
        <v>44</v>
      </c>
      <c r="F20" s="9" t="s">
        <v>45</v>
      </c>
      <c r="G20" s="9" t="s">
        <v>29</v>
      </c>
      <c r="H20" s="9" t="s">
        <v>24</v>
      </c>
      <c r="I20" s="10">
        <v>46081</v>
      </c>
      <c r="J20" s="10">
        <v>46090</v>
      </c>
      <c r="K20" s="10"/>
      <c r="L20" s="10"/>
      <c r="M20" s="9" t="s">
        <v>70</v>
      </c>
      <c r="N20" s="19">
        <v>455546</v>
      </c>
      <c r="O20" s="19"/>
      <c r="P20" s="9">
        <v>12</v>
      </c>
      <c r="Q20" s="9" t="s">
        <v>42</v>
      </c>
      <c r="R20" s="13" t="s">
        <v>267</v>
      </c>
    </row>
    <row r="21" spans="1:18" x14ac:dyDescent="0.3">
      <c r="A21" s="16" t="s">
        <v>72</v>
      </c>
      <c r="B21" s="9" t="s">
        <v>37</v>
      </c>
      <c r="C21" s="9" t="s">
        <v>38</v>
      </c>
      <c r="D21" s="9">
        <v>21</v>
      </c>
      <c r="E21" s="9" t="s">
        <v>49</v>
      </c>
      <c r="F21" s="9" t="s">
        <v>50</v>
      </c>
      <c r="G21" s="9" t="s">
        <v>29</v>
      </c>
      <c r="H21" s="9" t="s">
        <v>24</v>
      </c>
      <c r="I21" s="10">
        <v>46052</v>
      </c>
      <c r="J21" s="10">
        <v>46061</v>
      </c>
      <c r="K21" s="10">
        <v>46064</v>
      </c>
      <c r="L21" s="10">
        <v>46076</v>
      </c>
      <c r="M21" s="9" t="s">
        <v>41</v>
      </c>
      <c r="N21" s="19">
        <v>552774</v>
      </c>
      <c r="O21" s="19">
        <v>796266</v>
      </c>
      <c r="P21" s="9">
        <v>1</v>
      </c>
      <c r="Q21" s="9" t="s">
        <v>42</v>
      </c>
      <c r="R21" s="13">
        <v>24</v>
      </c>
    </row>
    <row r="22" spans="1:18" x14ac:dyDescent="0.3">
      <c r="A22" s="16" t="s">
        <v>73</v>
      </c>
      <c r="B22" s="9" t="s">
        <v>19</v>
      </c>
      <c r="C22" s="9" t="s">
        <v>38</v>
      </c>
      <c r="D22" s="9">
        <v>31</v>
      </c>
      <c r="E22" s="9" t="s">
        <v>49</v>
      </c>
      <c r="F22" s="9" t="s">
        <v>50</v>
      </c>
      <c r="G22" s="9" t="s">
        <v>23</v>
      </c>
      <c r="H22" s="9" t="s">
        <v>57</v>
      </c>
      <c r="I22" s="10">
        <v>46064</v>
      </c>
      <c r="J22" s="10">
        <v>46072</v>
      </c>
      <c r="K22" s="10"/>
      <c r="L22" s="10"/>
      <c r="M22" s="9" t="s">
        <v>35</v>
      </c>
      <c r="N22" s="19">
        <v>632115</v>
      </c>
      <c r="O22" s="19"/>
      <c r="P22" s="9">
        <v>12</v>
      </c>
      <c r="Q22" s="9" t="s">
        <v>46</v>
      </c>
      <c r="R22" s="13" t="s">
        <v>267</v>
      </c>
    </row>
    <row r="23" spans="1:18" x14ac:dyDescent="0.3">
      <c r="A23" s="16" t="s">
        <v>74</v>
      </c>
      <c r="B23" s="9" t="s">
        <v>37</v>
      </c>
      <c r="C23" s="9" t="s">
        <v>20</v>
      </c>
      <c r="D23" s="9">
        <v>29</v>
      </c>
      <c r="E23" s="9" t="s">
        <v>39</v>
      </c>
      <c r="F23" s="9" t="s">
        <v>40</v>
      </c>
      <c r="G23" s="9" t="s">
        <v>29</v>
      </c>
      <c r="H23" s="9" t="s">
        <v>30</v>
      </c>
      <c r="I23" s="10">
        <v>46127</v>
      </c>
      <c r="J23" s="10">
        <v>46132</v>
      </c>
      <c r="K23" s="10"/>
      <c r="L23" s="10"/>
      <c r="M23" s="9" t="s">
        <v>70</v>
      </c>
      <c r="N23" s="19">
        <v>555664</v>
      </c>
      <c r="O23" s="19"/>
      <c r="P23" s="9">
        <v>2</v>
      </c>
      <c r="Q23" s="9" t="s">
        <v>46</v>
      </c>
      <c r="R23" s="13" t="s">
        <v>267</v>
      </c>
    </row>
    <row r="24" spans="1:18" x14ac:dyDescent="0.3">
      <c r="A24" s="16" t="s">
        <v>75</v>
      </c>
      <c r="B24" s="9" t="s">
        <v>76</v>
      </c>
      <c r="C24" s="9" t="s">
        <v>20</v>
      </c>
      <c r="D24" s="9">
        <v>31</v>
      </c>
      <c r="E24" s="9" t="s">
        <v>39</v>
      </c>
      <c r="F24" s="9" t="s">
        <v>40</v>
      </c>
      <c r="G24" s="9" t="s">
        <v>29</v>
      </c>
      <c r="H24" s="9" t="s">
        <v>57</v>
      </c>
      <c r="I24" s="10">
        <v>46027</v>
      </c>
      <c r="J24" s="10">
        <v>46029</v>
      </c>
      <c r="K24" s="10">
        <v>46033</v>
      </c>
      <c r="L24" s="10">
        <v>46044</v>
      </c>
      <c r="M24" s="9" t="s">
        <v>41</v>
      </c>
      <c r="N24" s="19">
        <v>320285</v>
      </c>
      <c r="O24" s="19">
        <v>617276</v>
      </c>
      <c r="P24" s="9">
        <v>11</v>
      </c>
      <c r="Q24" s="9" t="s">
        <v>46</v>
      </c>
      <c r="R24" s="13">
        <v>17</v>
      </c>
    </row>
    <row r="25" spans="1:18" x14ac:dyDescent="0.3">
      <c r="A25" s="16" t="s">
        <v>77</v>
      </c>
      <c r="B25" s="9" t="s">
        <v>78</v>
      </c>
      <c r="C25" s="9" t="s">
        <v>20</v>
      </c>
      <c r="D25" s="9">
        <v>26</v>
      </c>
      <c r="E25" s="9" t="s">
        <v>21</v>
      </c>
      <c r="F25" s="9" t="s">
        <v>22</v>
      </c>
      <c r="G25" s="9" t="s">
        <v>23</v>
      </c>
      <c r="H25" s="9" t="s">
        <v>57</v>
      </c>
      <c r="I25" s="10">
        <v>46036</v>
      </c>
      <c r="J25" s="10">
        <v>46041</v>
      </c>
      <c r="K25" s="10">
        <v>46047</v>
      </c>
      <c r="L25" s="10"/>
      <c r="M25" s="9" t="s">
        <v>79</v>
      </c>
      <c r="N25" s="19">
        <v>372397</v>
      </c>
      <c r="O25" s="19">
        <v>822998</v>
      </c>
      <c r="P25" s="9">
        <v>2</v>
      </c>
      <c r="Q25" s="9" t="s">
        <v>26</v>
      </c>
      <c r="R25" s="13" t="s">
        <v>267</v>
      </c>
    </row>
    <row r="26" spans="1:18" x14ac:dyDescent="0.3">
      <c r="A26" s="16" t="s">
        <v>80</v>
      </c>
      <c r="B26" s="9" t="s">
        <v>78</v>
      </c>
      <c r="C26" s="9" t="s">
        <v>38</v>
      </c>
      <c r="D26" s="9">
        <v>31</v>
      </c>
      <c r="E26" s="9" t="s">
        <v>53</v>
      </c>
      <c r="F26" s="9" t="s">
        <v>50</v>
      </c>
      <c r="G26" s="9" t="s">
        <v>23</v>
      </c>
      <c r="H26" s="9" t="s">
        <v>34</v>
      </c>
      <c r="I26" s="10">
        <v>46186</v>
      </c>
      <c r="J26" s="10">
        <v>46192</v>
      </c>
      <c r="K26" s="10">
        <v>46198</v>
      </c>
      <c r="L26" s="10">
        <v>46207</v>
      </c>
      <c r="M26" s="9" t="s">
        <v>41</v>
      </c>
      <c r="N26" s="19">
        <v>844054</v>
      </c>
      <c r="O26" s="19">
        <v>454276</v>
      </c>
      <c r="P26" s="9">
        <v>11</v>
      </c>
      <c r="Q26" s="9" t="s">
        <v>26</v>
      </c>
      <c r="R26" s="13">
        <v>21</v>
      </c>
    </row>
    <row r="27" spans="1:18" x14ac:dyDescent="0.3">
      <c r="A27" s="16" t="s">
        <v>81</v>
      </c>
      <c r="B27" s="9" t="s">
        <v>28</v>
      </c>
      <c r="C27" s="9" t="s">
        <v>38</v>
      </c>
      <c r="D27" s="9">
        <v>28</v>
      </c>
      <c r="E27" s="9" t="s">
        <v>53</v>
      </c>
      <c r="F27" s="9" t="s">
        <v>50</v>
      </c>
      <c r="G27" s="9" t="s">
        <v>29</v>
      </c>
      <c r="H27" s="9" t="s">
        <v>54</v>
      </c>
      <c r="I27" s="10">
        <v>46090</v>
      </c>
      <c r="J27" s="10">
        <v>46096</v>
      </c>
      <c r="K27" s="10"/>
      <c r="L27" s="10"/>
      <c r="M27" s="9" t="s">
        <v>60</v>
      </c>
      <c r="N27" s="19">
        <v>825416</v>
      </c>
      <c r="O27" s="19"/>
      <c r="P27" s="9">
        <v>7</v>
      </c>
      <c r="Q27" s="9" t="s">
        <v>46</v>
      </c>
      <c r="R27" s="13" t="s">
        <v>267</v>
      </c>
    </row>
    <row r="28" spans="1:18" x14ac:dyDescent="0.3">
      <c r="A28" s="16" t="s">
        <v>82</v>
      </c>
      <c r="B28" s="9" t="s">
        <v>78</v>
      </c>
      <c r="C28" s="9" t="s">
        <v>20</v>
      </c>
      <c r="D28" s="9">
        <v>30</v>
      </c>
      <c r="E28" s="9" t="s">
        <v>39</v>
      </c>
      <c r="F28" s="9" t="s">
        <v>40</v>
      </c>
      <c r="G28" s="9" t="s">
        <v>29</v>
      </c>
      <c r="H28" s="9" t="s">
        <v>24</v>
      </c>
      <c r="I28" s="10">
        <v>46197</v>
      </c>
      <c r="J28" s="10">
        <v>46204</v>
      </c>
      <c r="K28" s="10"/>
      <c r="L28" s="10"/>
      <c r="M28" s="9" t="s">
        <v>60</v>
      </c>
      <c r="N28" s="19">
        <v>779977</v>
      </c>
      <c r="O28" s="19"/>
      <c r="P28" s="9">
        <v>10</v>
      </c>
      <c r="Q28" s="9" t="s">
        <v>42</v>
      </c>
      <c r="R28" s="13" t="s">
        <v>267</v>
      </c>
    </row>
    <row r="29" spans="1:18" x14ac:dyDescent="0.3">
      <c r="A29" s="16" t="s">
        <v>83</v>
      </c>
      <c r="B29" s="9" t="s">
        <v>78</v>
      </c>
      <c r="C29" s="9" t="s">
        <v>38</v>
      </c>
      <c r="D29" s="9">
        <v>35</v>
      </c>
      <c r="E29" s="9" t="s">
        <v>39</v>
      </c>
      <c r="F29" s="9" t="s">
        <v>40</v>
      </c>
      <c r="G29" s="9" t="s">
        <v>23</v>
      </c>
      <c r="H29" s="9" t="s">
        <v>57</v>
      </c>
      <c r="I29" s="10">
        <v>46142</v>
      </c>
      <c r="J29" s="10">
        <v>46147</v>
      </c>
      <c r="K29" s="10"/>
      <c r="L29" s="10"/>
      <c r="M29" s="9" t="s">
        <v>35</v>
      </c>
      <c r="N29" s="19">
        <v>445183</v>
      </c>
      <c r="O29" s="19"/>
      <c r="P29" s="9">
        <v>4</v>
      </c>
      <c r="Q29" s="9" t="s">
        <v>26</v>
      </c>
      <c r="R29" s="13" t="s">
        <v>267</v>
      </c>
    </row>
    <row r="30" spans="1:18" x14ac:dyDescent="0.3">
      <c r="A30" s="16" t="s">
        <v>84</v>
      </c>
      <c r="B30" s="9" t="s">
        <v>85</v>
      </c>
      <c r="C30" s="9" t="s">
        <v>20</v>
      </c>
      <c r="D30" s="9">
        <v>21</v>
      </c>
      <c r="E30" s="9" t="s">
        <v>21</v>
      </c>
      <c r="F30" s="9" t="s">
        <v>22</v>
      </c>
      <c r="G30" s="9" t="s">
        <v>23</v>
      </c>
      <c r="H30" s="9" t="s">
        <v>34</v>
      </c>
      <c r="I30" s="10">
        <v>46150</v>
      </c>
      <c r="J30" s="10">
        <v>46153</v>
      </c>
      <c r="K30" s="10"/>
      <c r="L30" s="10"/>
      <c r="M30" s="9" t="s">
        <v>51</v>
      </c>
      <c r="N30" s="19">
        <v>445263</v>
      </c>
      <c r="O30" s="19"/>
      <c r="P30" s="9">
        <v>3</v>
      </c>
      <c r="Q30" s="9" t="s">
        <v>42</v>
      </c>
      <c r="R30" s="13" t="s">
        <v>267</v>
      </c>
    </row>
    <row r="31" spans="1:18" x14ac:dyDescent="0.3">
      <c r="A31" s="16" t="s">
        <v>86</v>
      </c>
      <c r="B31" s="9" t="s">
        <v>59</v>
      </c>
      <c r="C31" s="9" t="s">
        <v>38</v>
      </c>
      <c r="D31" s="9">
        <v>39</v>
      </c>
      <c r="E31" s="9" t="s">
        <v>53</v>
      </c>
      <c r="F31" s="9" t="s">
        <v>50</v>
      </c>
      <c r="G31" s="9" t="s">
        <v>29</v>
      </c>
      <c r="H31" s="9" t="s">
        <v>57</v>
      </c>
      <c r="I31" s="10">
        <v>46078</v>
      </c>
      <c r="J31" s="10">
        <v>46080</v>
      </c>
      <c r="K31" s="10"/>
      <c r="L31" s="10"/>
      <c r="M31" s="9" t="s">
        <v>25</v>
      </c>
      <c r="N31" s="19">
        <v>612759</v>
      </c>
      <c r="O31" s="19"/>
      <c r="P31" s="9">
        <v>8</v>
      </c>
      <c r="Q31" s="9" t="s">
        <v>26</v>
      </c>
      <c r="R31" s="13" t="s">
        <v>267</v>
      </c>
    </row>
    <row r="32" spans="1:18" x14ac:dyDescent="0.3">
      <c r="A32" s="16" t="s">
        <v>87</v>
      </c>
      <c r="B32" s="9" t="s">
        <v>85</v>
      </c>
      <c r="C32" s="9" t="s">
        <v>20</v>
      </c>
      <c r="D32" s="9">
        <v>39</v>
      </c>
      <c r="E32" s="9" t="s">
        <v>53</v>
      </c>
      <c r="F32" s="9" t="s">
        <v>50</v>
      </c>
      <c r="G32" s="9" t="s">
        <v>33</v>
      </c>
      <c r="H32" s="9" t="s">
        <v>57</v>
      </c>
      <c r="I32" s="10">
        <v>46125</v>
      </c>
      <c r="J32" s="10">
        <v>46130</v>
      </c>
      <c r="K32" s="10"/>
      <c r="L32" s="10"/>
      <c r="M32" s="9" t="s">
        <v>25</v>
      </c>
      <c r="N32" s="19">
        <v>527215</v>
      </c>
      <c r="O32" s="19"/>
      <c r="P32" s="9">
        <v>5</v>
      </c>
      <c r="Q32" s="9" t="s">
        <v>46</v>
      </c>
      <c r="R32" s="13" t="s">
        <v>267</v>
      </c>
    </row>
    <row r="33" spans="1:18" x14ac:dyDescent="0.3">
      <c r="A33" s="16" t="s">
        <v>88</v>
      </c>
      <c r="B33" s="9" t="s">
        <v>59</v>
      </c>
      <c r="C33" s="9" t="s">
        <v>38</v>
      </c>
      <c r="D33" s="9">
        <v>23</v>
      </c>
      <c r="E33" s="9" t="s">
        <v>49</v>
      </c>
      <c r="F33" s="9" t="s">
        <v>50</v>
      </c>
      <c r="G33" s="9" t="s">
        <v>23</v>
      </c>
      <c r="H33" s="9" t="s">
        <v>57</v>
      </c>
      <c r="I33" s="10">
        <v>46167</v>
      </c>
      <c r="J33" s="10">
        <v>46172</v>
      </c>
      <c r="K33" s="10">
        <v>46179</v>
      </c>
      <c r="L33" s="10"/>
      <c r="M33" s="9" t="s">
        <v>79</v>
      </c>
      <c r="N33" s="19">
        <v>373903</v>
      </c>
      <c r="O33" s="19">
        <v>833178</v>
      </c>
      <c r="P33" s="9">
        <v>9</v>
      </c>
      <c r="Q33" s="9" t="s">
        <v>26</v>
      </c>
      <c r="R33" s="13" t="s">
        <v>267</v>
      </c>
    </row>
    <row r="34" spans="1:18" x14ac:dyDescent="0.3">
      <c r="A34" s="16" t="s">
        <v>89</v>
      </c>
      <c r="B34" s="9" t="s">
        <v>59</v>
      </c>
      <c r="C34" s="9" t="s">
        <v>20</v>
      </c>
      <c r="D34" s="9">
        <v>22</v>
      </c>
      <c r="E34" s="9" t="s">
        <v>49</v>
      </c>
      <c r="F34" s="9" t="s">
        <v>50</v>
      </c>
      <c r="G34" s="9" t="s">
        <v>33</v>
      </c>
      <c r="H34" s="9" t="s">
        <v>54</v>
      </c>
      <c r="I34" s="10">
        <v>46060</v>
      </c>
      <c r="J34" s="10">
        <v>46070</v>
      </c>
      <c r="K34" s="10"/>
      <c r="L34" s="10"/>
      <c r="M34" s="9" t="s">
        <v>51</v>
      </c>
      <c r="N34" s="19">
        <v>601564</v>
      </c>
      <c r="O34" s="19"/>
      <c r="P34" s="9">
        <v>1</v>
      </c>
      <c r="Q34" s="9" t="s">
        <v>26</v>
      </c>
      <c r="R34" s="13" t="s">
        <v>267</v>
      </c>
    </row>
    <row r="35" spans="1:18" x14ac:dyDescent="0.3">
      <c r="A35" s="16" t="s">
        <v>90</v>
      </c>
      <c r="B35" s="9" t="s">
        <v>28</v>
      </c>
      <c r="C35" s="9" t="s">
        <v>38</v>
      </c>
      <c r="D35" s="9">
        <v>25</v>
      </c>
      <c r="E35" s="9" t="s">
        <v>44</v>
      </c>
      <c r="F35" s="9" t="s">
        <v>45</v>
      </c>
      <c r="G35" s="9" t="s">
        <v>23</v>
      </c>
      <c r="H35" s="9" t="s">
        <v>34</v>
      </c>
      <c r="I35" s="10">
        <v>46182</v>
      </c>
      <c r="J35" s="10">
        <v>46190</v>
      </c>
      <c r="K35" s="10"/>
      <c r="L35" s="10"/>
      <c r="M35" s="9" t="s">
        <v>51</v>
      </c>
      <c r="N35" s="19">
        <v>716518</v>
      </c>
      <c r="O35" s="19"/>
      <c r="P35" s="9">
        <v>10</v>
      </c>
      <c r="Q35" s="9" t="s">
        <v>46</v>
      </c>
      <c r="R35" s="13" t="s">
        <v>267</v>
      </c>
    </row>
    <row r="36" spans="1:18" x14ac:dyDescent="0.3">
      <c r="A36" s="16" t="s">
        <v>91</v>
      </c>
      <c r="B36" s="9" t="s">
        <v>37</v>
      </c>
      <c r="C36" s="9" t="s">
        <v>38</v>
      </c>
      <c r="D36" s="9">
        <v>28</v>
      </c>
      <c r="E36" s="9" t="s">
        <v>21</v>
      </c>
      <c r="F36" s="9" t="s">
        <v>22</v>
      </c>
      <c r="G36" s="9" t="s">
        <v>23</v>
      </c>
      <c r="H36" s="9" t="s">
        <v>57</v>
      </c>
      <c r="I36" s="10">
        <v>46150</v>
      </c>
      <c r="J36" s="10">
        <v>46158</v>
      </c>
      <c r="K36" s="10"/>
      <c r="L36" s="10"/>
      <c r="M36" s="9" t="s">
        <v>35</v>
      </c>
      <c r="N36" s="19">
        <v>728217</v>
      </c>
      <c r="O36" s="19"/>
      <c r="P36" s="9">
        <v>3</v>
      </c>
      <c r="Q36" s="9" t="s">
        <v>46</v>
      </c>
      <c r="R36" s="13" t="s">
        <v>267</v>
      </c>
    </row>
    <row r="37" spans="1:18" x14ac:dyDescent="0.3">
      <c r="A37" s="16" t="s">
        <v>92</v>
      </c>
      <c r="B37" s="9" t="s">
        <v>19</v>
      </c>
      <c r="C37" s="9" t="s">
        <v>20</v>
      </c>
      <c r="D37" s="9">
        <v>25</v>
      </c>
      <c r="E37" s="9" t="s">
        <v>49</v>
      </c>
      <c r="F37" s="9" t="s">
        <v>50</v>
      </c>
      <c r="G37" s="9" t="s">
        <v>56</v>
      </c>
      <c r="H37" s="9" t="s">
        <v>54</v>
      </c>
      <c r="I37" s="10">
        <v>46193</v>
      </c>
      <c r="J37" s="10">
        <v>46200</v>
      </c>
      <c r="K37" s="10">
        <v>46206</v>
      </c>
      <c r="L37" s="10">
        <v>46224</v>
      </c>
      <c r="M37" s="9" t="s">
        <v>41</v>
      </c>
      <c r="N37" s="19">
        <v>646808</v>
      </c>
      <c r="O37" s="19">
        <v>825140</v>
      </c>
      <c r="P37" s="9">
        <v>10</v>
      </c>
      <c r="Q37" s="9" t="s">
        <v>46</v>
      </c>
      <c r="R37" s="13">
        <v>31</v>
      </c>
    </row>
    <row r="38" spans="1:18" x14ac:dyDescent="0.3">
      <c r="A38" s="16" t="s">
        <v>93</v>
      </c>
      <c r="B38" s="9" t="s">
        <v>48</v>
      </c>
      <c r="C38" s="9" t="s">
        <v>38</v>
      </c>
      <c r="D38" s="9">
        <v>25</v>
      </c>
      <c r="E38" s="9" t="s">
        <v>49</v>
      </c>
      <c r="F38" s="9" t="s">
        <v>50</v>
      </c>
      <c r="G38" s="9" t="s">
        <v>29</v>
      </c>
      <c r="H38" s="9" t="s">
        <v>57</v>
      </c>
      <c r="I38" s="10">
        <v>46049</v>
      </c>
      <c r="J38" s="10">
        <v>46053</v>
      </c>
      <c r="K38" s="10">
        <v>46058</v>
      </c>
      <c r="L38" s="10"/>
      <c r="M38" s="9" t="s">
        <v>79</v>
      </c>
      <c r="N38" s="19">
        <v>643439</v>
      </c>
      <c r="O38" s="19">
        <v>423111</v>
      </c>
      <c r="P38" s="9">
        <v>3</v>
      </c>
      <c r="Q38" s="9" t="s">
        <v>42</v>
      </c>
      <c r="R38" s="13" t="s">
        <v>267</v>
      </c>
    </row>
    <row r="39" spans="1:18" x14ac:dyDescent="0.3">
      <c r="A39" s="16" t="s">
        <v>94</v>
      </c>
      <c r="B39" s="9" t="s">
        <v>28</v>
      </c>
      <c r="C39" s="9" t="s">
        <v>38</v>
      </c>
      <c r="D39" s="9">
        <v>30</v>
      </c>
      <c r="E39" s="9" t="s">
        <v>44</v>
      </c>
      <c r="F39" s="9" t="s">
        <v>45</v>
      </c>
      <c r="G39" s="9" t="s">
        <v>23</v>
      </c>
      <c r="H39" s="9" t="s">
        <v>30</v>
      </c>
      <c r="I39" s="10">
        <v>46170</v>
      </c>
      <c r="J39" s="10">
        <v>46172</v>
      </c>
      <c r="K39" s="10">
        <v>46177</v>
      </c>
      <c r="L39" s="10">
        <v>46186</v>
      </c>
      <c r="M39" s="9" t="s">
        <v>41</v>
      </c>
      <c r="N39" s="19">
        <v>379514</v>
      </c>
      <c r="O39" s="19">
        <v>532032</v>
      </c>
      <c r="P39" s="9">
        <v>8</v>
      </c>
      <c r="Q39" s="9" t="s">
        <v>42</v>
      </c>
      <c r="R39" s="13">
        <v>16</v>
      </c>
    </row>
    <row r="40" spans="1:18" x14ac:dyDescent="0.3">
      <c r="A40" s="16" t="s">
        <v>95</v>
      </c>
      <c r="B40" s="9" t="s">
        <v>32</v>
      </c>
      <c r="C40" s="9" t="s">
        <v>38</v>
      </c>
      <c r="D40" s="9">
        <v>26</v>
      </c>
      <c r="E40" s="9" t="s">
        <v>21</v>
      </c>
      <c r="F40" s="9" t="s">
        <v>22</v>
      </c>
      <c r="G40" s="9" t="s">
        <v>29</v>
      </c>
      <c r="H40" s="9" t="s">
        <v>24</v>
      </c>
      <c r="I40" s="10">
        <v>46136</v>
      </c>
      <c r="J40" s="10">
        <v>46145</v>
      </c>
      <c r="K40" s="10"/>
      <c r="L40" s="10"/>
      <c r="M40" s="9" t="s">
        <v>51</v>
      </c>
      <c r="N40" s="19">
        <v>429422</v>
      </c>
      <c r="O40" s="19"/>
      <c r="P40" s="9">
        <v>1</v>
      </c>
      <c r="Q40" s="9" t="s">
        <v>46</v>
      </c>
      <c r="R40" s="13" t="s">
        <v>267</v>
      </c>
    </row>
    <row r="41" spans="1:18" x14ac:dyDescent="0.3">
      <c r="A41" s="16" t="s">
        <v>96</v>
      </c>
      <c r="B41" s="9" t="s">
        <v>48</v>
      </c>
      <c r="C41" s="9" t="s">
        <v>38</v>
      </c>
      <c r="D41" s="9">
        <v>35</v>
      </c>
      <c r="E41" s="9" t="s">
        <v>49</v>
      </c>
      <c r="F41" s="9" t="s">
        <v>50</v>
      </c>
      <c r="G41" s="9" t="s">
        <v>33</v>
      </c>
      <c r="H41" s="9" t="s">
        <v>24</v>
      </c>
      <c r="I41" s="10">
        <v>46183</v>
      </c>
      <c r="J41" s="10">
        <v>46190</v>
      </c>
      <c r="K41" s="10"/>
      <c r="L41" s="10"/>
      <c r="M41" s="9" t="s">
        <v>60</v>
      </c>
      <c r="N41" s="19">
        <v>766864</v>
      </c>
      <c r="O41" s="19"/>
      <c r="P41" s="9">
        <v>4</v>
      </c>
      <c r="Q41" s="9" t="s">
        <v>42</v>
      </c>
      <c r="R41" s="13" t="s">
        <v>267</v>
      </c>
    </row>
    <row r="42" spans="1:18" x14ac:dyDescent="0.3">
      <c r="A42" s="16" t="s">
        <v>97</v>
      </c>
      <c r="B42" s="9" t="s">
        <v>76</v>
      </c>
      <c r="C42" s="9" t="s">
        <v>20</v>
      </c>
      <c r="D42" s="9">
        <v>33</v>
      </c>
      <c r="E42" s="9" t="s">
        <v>39</v>
      </c>
      <c r="F42" s="9" t="s">
        <v>40</v>
      </c>
      <c r="G42" s="9" t="s">
        <v>23</v>
      </c>
      <c r="H42" s="9" t="s">
        <v>34</v>
      </c>
      <c r="I42" s="10">
        <v>46053</v>
      </c>
      <c r="J42" s="10">
        <v>46061</v>
      </c>
      <c r="K42" s="10"/>
      <c r="L42" s="10"/>
      <c r="M42" s="9" t="s">
        <v>25</v>
      </c>
      <c r="N42" s="19">
        <v>489008</v>
      </c>
      <c r="O42" s="19"/>
      <c r="P42" s="9">
        <v>4</v>
      </c>
      <c r="Q42" s="9" t="s">
        <v>46</v>
      </c>
      <c r="R42" s="13" t="s">
        <v>267</v>
      </c>
    </row>
    <row r="43" spans="1:18" x14ac:dyDescent="0.3">
      <c r="A43" s="16" t="s">
        <v>98</v>
      </c>
      <c r="B43" s="9" t="s">
        <v>99</v>
      </c>
      <c r="C43" s="9" t="s">
        <v>38</v>
      </c>
      <c r="D43" s="9">
        <v>29</v>
      </c>
      <c r="E43" s="9" t="s">
        <v>39</v>
      </c>
      <c r="F43" s="9" t="s">
        <v>40</v>
      </c>
      <c r="G43" s="9" t="s">
        <v>56</v>
      </c>
      <c r="H43" s="9" t="s">
        <v>54</v>
      </c>
      <c r="I43" s="10">
        <v>46194</v>
      </c>
      <c r="J43" s="10">
        <v>46204</v>
      </c>
      <c r="K43" s="10"/>
      <c r="L43" s="10"/>
      <c r="M43" s="9" t="s">
        <v>70</v>
      </c>
      <c r="N43" s="19">
        <v>548134</v>
      </c>
      <c r="O43" s="19"/>
      <c r="P43" s="9">
        <v>6</v>
      </c>
      <c r="Q43" s="9" t="s">
        <v>26</v>
      </c>
      <c r="R43" s="13" t="s">
        <v>267</v>
      </c>
    </row>
    <row r="44" spans="1:18" x14ac:dyDescent="0.3">
      <c r="A44" s="16" t="s">
        <v>100</v>
      </c>
      <c r="B44" s="9" t="s">
        <v>76</v>
      </c>
      <c r="C44" s="9" t="s">
        <v>38</v>
      </c>
      <c r="D44" s="9">
        <v>36</v>
      </c>
      <c r="E44" s="9" t="s">
        <v>21</v>
      </c>
      <c r="F44" s="9" t="s">
        <v>22</v>
      </c>
      <c r="G44" s="9" t="s">
        <v>56</v>
      </c>
      <c r="H44" s="9" t="s">
        <v>30</v>
      </c>
      <c r="I44" s="10">
        <v>46142</v>
      </c>
      <c r="J44" s="10">
        <v>46144</v>
      </c>
      <c r="K44" s="10"/>
      <c r="L44" s="10"/>
      <c r="M44" s="9" t="s">
        <v>70</v>
      </c>
      <c r="N44" s="19">
        <v>413547</v>
      </c>
      <c r="O44" s="19"/>
      <c r="P44" s="9">
        <v>9</v>
      </c>
      <c r="Q44" s="9" t="s">
        <v>42</v>
      </c>
      <c r="R44" s="13" t="s">
        <v>267</v>
      </c>
    </row>
    <row r="45" spans="1:18" x14ac:dyDescent="0.3">
      <c r="A45" s="16" t="s">
        <v>101</v>
      </c>
      <c r="B45" s="9" t="s">
        <v>48</v>
      </c>
      <c r="C45" s="9" t="s">
        <v>20</v>
      </c>
      <c r="D45" s="9">
        <v>33</v>
      </c>
      <c r="E45" s="9" t="s">
        <v>53</v>
      </c>
      <c r="F45" s="9" t="s">
        <v>50</v>
      </c>
      <c r="G45" s="9" t="s">
        <v>56</v>
      </c>
      <c r="H45" s="9" t="s">
        <v>57</v>
      </c>
      <c r="I45" s="10">
        <v>46134</v>
      </c>
      <c r="J45" s="10">
        <v>46138</v>
      </c>
      <c r="K45" s="10"/>
      <c r="L45" s="10"/>
      <c r="M45" s="9" t="s">
        <v>51</v>
      </c>
      <c r="N45" s="19">
        <v>409639</v>
      </c>
      <c r="O45" s="19"/>
      <c r="P45" s="9">
        <v>10</v>
      </c>
      <c r="Q45" s="9" t="s">
        <v>42</v>
      </c>
      <c r="R45" s="13" t="s">
        <v>267</v>
      </c>
    </row>
    <row r="46" spans="1:18" x14ac:dyDescent="0.3">
      <c r="A46" s="16" t="s">
        <v>102</v>
      </c>
      <c r="B46" s="9" t="s">
        <v>37</v>
      </c>
      <c r="C46" s="9" t="s">
        <v>38</v>
      </c>
      <c r="D46" s="9">
        <v>35</v>
      </c>
      <c r="E46" s="9" t="s">
        <v>44</v>
      </c>
      <c r="F46" s="9" t="s">
        <v>45</v>
      </c>
      <c r="G46" s="9" t="s">
        <v>33</v>
      </c>
      <c r="H46" s="9" t="s">
        <v>34</v>
      </c>
      <c r="I46" s="10">
        <v>46155</v>
      </c>
      <c r="J46" s="10">
        <v>46163</v>
      </c>
      <c r="K46" s="10">
        <v>46170</v>
      </c>
      <c r="L46" s="10"/>
      <c r="M46" s="9" t="s">
        <v>79</v>
      </c>
      <c r="N46" s="19">
        <v>767689</v>
      </c>
      <c r="O46" s="19">
        <v>423120</v>
      </c>
      <c r="P46" s="9">
        <v>2</v>
      </c>
      <c r="Q46" s="9" t="s">
        <v>26</v>
      </c>
      <c r="R46" s="13" t="s">
        <v>267</v>
      </c>
    </row>
    <row r="47" spans="1:18" x14ac:dyDescent="0.3">
      <c r="A47" s="16" t="s">
        <v>103</v>
      </c>
      <c r="B47" s="9" t="s">
        <v>19</v>
      </c>
      <c r="C47" s="9" t="s">
        <v>38</v>
      </c>
      <c r="D47" s="9">
        <v>27</v>
      </c>
      <c r="E47" s="9" t="s">
        <v>49</v>
      </c>
      <c r="F47" s="9" t="s">
        <v>50</v>
      </c>
      <c r="G47" s="9" t="s">
        <v>33</v>
      </c>
      <c r="H47" s="9" t="s">
        <v>34</v>
      </c>
      <c r="I47" s="10">
        <v>46063</v>
      </c>
      <c r="J47" s="10">
        <v>46073</v>
      </c>
      <c r="K47" s="10"/>
      <c r="L47" s="10"/>
      <c r="M47" s="9" t="s">
        <v>25</v>
      </c>
      <c r="N47" s="19">
        <v>375880</v>
      </c>
      <c r="O47" s="19"/>
      <c r="P47" s="9">
        <v>5</v>
      </c>
      <c r="Q47" s="9" t="s">
        <v>46</v>
      </c>
      <c r="R47" s="13" t="s">
        <v>267</v>
      </c>
    </row>
    <row r="48" spans="1:18" x14ac:dyDescent="0.3">
      <c r="A48" s="16" t="s">
        <v>104</v>
      </c>
      <c r="B48" s="9" t="s">
        <v>32</v>
      </c>
      <c r="C48" s="9" t="s">
        <v>20</v>
      </c>
      <c r="D48" s="9">
        <v>24</v>
      </c>
      <c r="E48" s="9" t="s">
        <v>39</v>
      </c>
      <c r="F48" s="9" t="s">
        <v>40</v>
      </c>
      <c r="G48" s="9" t="s">
        <v>29</v>
      </c>
      <c r="H48" s="9" t="s">
        <v>30</v>
      </c>
      <c r="I48" s="10">
        <v>46113</v>
      </c>
      <c r="J48" s="10">
        <v>46118</v>
      </c>
      <c r="K48" s="10"/>
      <c r="L48" s="10"/>
      <c r="M48" s="9" t="s">
        <v>51</v>
      </c>
      <c r="N48" s="19">
        <v>841514</v>
      </c>
      <c r="O48" s="19"/>
      <c r="P48" s="9">
        <v>12</v>
      </c>
      <c r="Q48" s="9" t="s">
        <v>46</v>
      </c>
      <c r="R48" s="13" t="s">
        <v>267</v>
      </c>
    </row>
    <row r="49" spans="1:18" x14ac:dyDescent="0.3">
      <c r="A49" s="16" t="s">
        <v>105</v>
      </c>
      <c r="B49" s="9" t="s">
        <v>59</v>
      </c>
      <c r="C49" s="9" t="s">
        <v>38</v>
      </c>
      <c r="D49" s="9">
        <v>39</v>
      </c>
      <c r="E49" s="9" t="s">
        <v>39</v>
      </c>
      <c r="F49" s="9" t="s">
        <v>40</v>
      </c>
      <c r="G49" s="9" t="s">
        <v>23</v>
      </c>
      <c r="H49" s="9" t="s">
        <v>57</v>
      </c>
      <c r="I49" s="10">
        <v>46033</v>
      </c>
      <c r="J49" s="10">
        <v>46041</v>
      </c>
      <c r="K49" s="10"/>
      <c r="L49" s="10"/>
      <c r="M49" s="9" t="s">
        <v>51</v>
      </c>
      <c r="N49" s="19">
        <v>781919</v>
      </c>
      <c r="O49" s="19"/>
      <c r="P49" s="9">
        <v>6</v>
      </c>
      <c r="Q49" s="9" t="s">
        <v>46</v>
      </c>
      <c r="R49" s="13" t="s">
        <v>267</v>
      </c>
    </row>
    <row r="50" spans="1:18" x14ac:dyDescent="0.3">
      <c r="A50" s="16" t="s">
        <v>106</v>
      </c>
      <c r="B50" s="9" t="s">
        <v>59</v>
      </c>
      <c r="C50" s="9" t="s">
        <v>38</v>
      </c>
      <c r="D50" s="9">
        <v>22</v>
      </c>
      <c r="E50" s="9" t="s">
        <v>49</v>
      </c>
      <c r="F50" s="9" t="s">
        <v>50</v>
      </c>
      <c r="G50" s="9" t="s">
        <v>56</v>
      </c>
      <c r="H50" s="9" t="s">
        <v>54</v>
      </c>
      <c r="I50" s="10">
        <v>46106</v>
      </c>
      <c r="J50" s="10">
        <v>46112</v>
      </c>
      <c r="K50" s="10">
        <v>46117</v>
      </c>
      <c r="L50" s="10"/>
      <c r="M50" s="9" t="s">
        <v>79</v>
      </c>
      <c r="N50" s="19">
        <v>802746</v>
      </c>
      <c r="O50" s="19">
        <v>825292</v>
      </c>
      <c r="P50" s="9">
        <v>5</v>
      </c>
      <c r="Q50" s="9" t="s">
        <v>42</v>
      </c>
      <c r="R50" s="13" t="s">
        <v>267</v>
      </c>
    </row>
    <row r="51" spans="1:18" x14ac:dyDescent="0.3">
      <c r="A51" s="16" t="s">
        <v>107</v>
      </c>
      <c r="B51" s="9" t="s">
        <v>59</v>
      </c>
      <c r="C51" s="9" t="s">
        <v>38</v>
      </c>
      <c r="D51" s="9">
        <v>28</v>
      </c>
      <c r="E51" s="9" t="s">
        <v>44</v>
      </c>
      <c r="F51" s="9" t="s">
        <v>45</v>
      </c>
      <c r="G51" s="9" t="s">
        <v>23</v>
      </c>
      <c r="H51" s="9" t="s">
        <v>57</v>
      </c>
      <c r="I51" s="10">
        <v>46139</v>
      </c>
      <c r="J51" s="10">
        <v>46149</v>
      </c>
      <c r="K51" s="10"/>
      <c r="L51" s="10"/>
      <c r="M51" s="9" t="s">
        <v>25</v>
      </c>
      <c r="N51" s="19">
        <v>406790</v>
      </c>
      <c r="O51" s="19"/>
      <c r="P51" s="9">
        <v>4</v>
      </c>
      <c r="Q51" s="9" t="s">
        <v>26</v>
      </c>
      <c r="R51" s="13" t="s">
        <v>267</v>
      </c>
    </row>
    <row r="52" spans="1:18" x14ac:dyDescent="0.3">
      <c r="A52" s="16" t="s">
        <v>108</v>
      </c>
      <c r="B52" s="9" t="s">
        <v>28</v>
      </c>
      <c r="C52" s="9" t="s">
        <v>38</v>
      </c>
      <c r="D52" s="9">
        <v>31</v>
      </c>
      <c r="E52" s="9" t="s">
        <v>21</v>
      </c>
      <c r="F52" s="9" t="s">
        <v>22</v>
      </c>
      <c r="G52" s="9" t="s">
        <v>33</v>
      </c>
      <c r="H52" s="9" t="s">
        <v>57</v>
      </c>
      <c r="I52" s="10">
        <v>46086</v>
      </c>
      <c r="J52" s="10">
        <v>46088</v>
      </c>
      <c r="K52" s="10">
        <v>46095</v>
      </c>
      <c r="L52" s="10"/>
      <c r="M52" s="9" t="s">
        <v>79</v>
      </c>
      <c r="N52" s="19">
        <v>332217</v>
      </c>
      <c r="O52" s="19">
        <v>919717</v>
      </c>
      <c r="P52" s="9">
        <v>4</v>
      </c>
      <c r="Q52" s="9" t="s">
        <v>26</v>
      </c>
      <c r="R52" s="13" t="s">
        <v>267</v>
      </c>
    </row>
    <row r="53" spans="1:18" x14ac:dyDescent="0.3">
      <c r="A53" s="16" t="s">
        <v>109</v>
      </c>
      <c r="B53" s="9" t="s">
        <v>78</v>
      </c>
      <c r="C53" s="9" t="s">
        <v>20</v>
      </c>
      <c r="D53" s="9">
        <v>23</v>
      </c>
      <c r="E53" s="9" t="s">
        <v>53</v>
      </c>
      <c r="F53" s="9" t="s">
        <v>50</v>
      </c>
      <c r="G53" s="9" t="s">
        <v>56</v>
      </c>
      <c r="H53" s="9" t="s">
        <v>24</v>
      </c>
      <c r="I53" s="10">
        <v>46106</v>
      </c>
      <c r="J53" s="10">
        <v>46116</v>
      </c>
      <c r="K53" s="10"/>
      <c r="L53" s="10"/>
      <c r="M53" s="9" t="s">
        <v>35</v>
      </c>
      <c r="N53" s="19">
        <v>678001</v>
      </c>
      <c r="O53" s="19"/>
      <c r="P53" s="9">
        <v>1</v>
      </c>
      <c r="Q53" s="9" t="s">
        <v>42</v>
      </c>
      <c r="R53" s="13" t="s">
        <v>267</v>
      </c>
    </row>
    <row r="54" spans="1:18" x14ac:dyDescent="0.3">
      <c r="A54" s="16" t="s">
        <v>110</v>
      </c>
      <c r="B54" s="9" t="s">
        <v>48</v>
      </c>
      <c r="C54" s="9" t="s">
        <v>38</v>
      </c>
      <c r="D54" s="9">
        <v>39</v>
      </c>
      <c r="E54" s="9" t="s">
        <v>44</v>
      </c>
      <c r="F54" s="9" t="s">
        <v>45</v>
      </c>
      <c r="G54" s="9" t="s">
        <v>23</v>
      </c>
      <c r="H54" s="9" t="s">
        <v>34</v>
      </c>
      <c r="I54" s="10">
        <v>46136</v>
      </c>
      <c r="J54" s="10">
        <v>46145</v>
      </c>
      <c r="K54" s="10"/>
      <c r="L54" s="10"/>
      <c r="M54" s="9" t="s">
        <v>60</v>
      </c>
      <c r="N54" s="19">
        <v>564619</v>
      </c>
      <c r="O54" s="19"/>
      <c r="P54" s="9">
        <v>6</v>
      </c>
      <c r="Q54" s="9" t="s">
        <v>46</v>
      </c>
      <c r="R54" s="13" t="s">
        <v>267</v>
      </c>
    </row>
    <row r="55" spans="1:18" x14ac:dyDescent="0.3">
      <c r="A55" s="16" t="s">
        <v>111</v>
      </c>
      <c r="B55" s="9" t="s">
        <v>28</v>
      </c>
      <c r="C55" s="9" t="s">
        <v>20</v>
      </c>
      <c r="D55" s="9">
        <v>23</v>
      </c>
      <c r="E55" s="9" t="s">
        <v>21</v>
      </c>
      <c r="F55" s="9" t="s">
        <v>22</v>
      </c>
      <c r="G55" s="9" t="s">
        <v>23</v>
      </c>
      <c r="H55" s="9" t="s">
        <v>24</v>
      </c>
      <c r="I55" s="10">
        <v>46099</v>
      </c>
      <c r="J55" s="10">
        <v>46103</v>
      </c>
      <c r="K55" s="10"/>
      <c r="L55" s="10"/>
      <c r="M55" s="9" t="s">
        <v>70</v>
      </c>
      <c r="N55" s="19">
        <v>626427</v>
      </c>
      <c r="O55" s="19"/>
      <c r="P55" s="9">
        <v>12</v>
      </c>
      <c r="Q55" s="9" t="s">
        <v>46</v>
      </c>
      <c r="R55" s="13" t="s">
        <v>267</v>
      </c>
    </row>
    <row r="56" spans="1:18" x14ac:dyDescent="0.3">
      <c r="A56" s="16" t="s">
        <v>112</v>
      </c>
      <c r="B56" s="9" t="s">
        <v>85</v>
      </c>
      <c r="C56" s="9" t="s">
        <v>38</v>
      </c>
      <c r="D56" s="9">
        <v>28</v>
      </c>
      <c r="E56" s="9" t="s">
        <v>44</v>
      </c>
      <c r="F56" s="9" t="s">
        <v>45</v>
      </c>
      <c r="G56" s="9" t="s">
        <v>29</v>
      </c>
      <c r="H56" s="9" t="s">
        <v>57</v>
      </c>
      <c r="I56" s="10">
        <v>46084</v>
      </c>
      <c r="J56" s="10">
        <v>46087</v>
      </c>
      <c r="K56" s="10"/>
      <c r="L56" s="10"/>
      <c r="M56" s="9" t="s">
        <v>60</v>
      </c>
      <c r="N56" s="19">
        <v>323733</v>
      </c>
      <c r="O56" s="19"/>
      <c r="P56" s="9">
        <v>5</v>
      </c>
      <c r="Q56" s="9" t="s">
        <v>26</v>
      </c>
      <c r="R56" s="13" t="s">
        <v>267</v>
      </c>
    </row>
    <row r="57" spans="1:18" x14ac:dyDescent="0.3">
      <c r="A57" s="16" t="s">
        <v>113</v>
      </c>
      <c r="B57" s="9" t="s">
        <v>85</v>
      </c>
      <c r="C57" s="9" t="s">
        <v>20</v>
      </c>
      <c r="D57" s="9">
        <v>27</v>
      </c>
      <c r="E57" s="9" t="s">
        <v>53</v>
      </c>
      <c r="F57" s="9" t="s">
        <v>50</v>
      </c>
      <c r="G57" s="9" t="s">
        <v>33</v>
      </c>
      <c r="H57" s="9" t="s">
        <v>54</v>
      </c>
      <c r="I57" s="10">
        <v>46121</v>
      </c>
      <c r="J57" s="10">
        <v>46124</v>
      </c>
      <c r="K57" s="10"/>
      <c r="L57" s="10"/>
      <c r="M57" s="9" t="s">
        <v>35</v>
      </c>
      <c r="N57" s="19">
        <v>481387</v>
      </c>
      <c r="O57" s="19"/>
      <c r="P57" s="9">
        <v>8</v>
      </c>
      <c r="Q57" s="9" t="s">
        <v>26</v>
      </c>
      <c r="R57" s="13" t="s">
        <v>267</v>
      </c>
    </row>
    <row r="58" spans="1:18" x14ac:dyDescent="0.3">
      <c r="A58" s="16" t="s">
        <v>114</v>
      </c>
      <c r="B58" s="9" t="s">
        <v>19</v>
      </c>
      <c r="C58" s="9" t="s">
        <v>38</v>
      </c>
      <c r="D58" s="9">
        <v>25</v>
      </c>
      <c r="E58" s="9" t="s">
        <v>39</v>
      </c>
      <c r="F58" s="9" t="s">
        <v>40</v>
      </c>
      <c r="G58" s="9" t="s">
        <v>33</v>
      </c>
      <c r="H58" s="9" t="s">
        <v>54</v>
      </c>
      <c r="I58" s="10">
        <v>46177</v>
      </c>
      <c r="J58" s="10">
        <v>46186</v>
      </c>
      <c r="K58" s="10"/>
      <c r="L58" s="10"/>
      <c r="M58" s="9" t="s">
        <v>70</v>
      </c>
      <c r="N58" s="19">
        <v>767097</v>
      </c>
      <c r="O58" s="19"/>
      <c r="P58" s="9">
        <v>8</v>
      </c>
      <c r="Q58" s="9" t="s">
        <v>26</v>
      </c>
      <c r="R58" s="13" t="s">
        <v>267</v>
      </c>
    </row>
    <row r="59" spans="1:18" x14ac:dyDescent="0.3">
      <c r="A59" s="16" t="s">
        <v>115</v>
      </c>
      <c r="B59" s="9" t="s">
        <v>78</v>
      </c>
      <c r="C59" s="9" t="s">
        <v>20</v>
      </c>
      <c r="D59" s="9">
        <v>31</v>
      </c>
      <c r="E59" s="9" t="s">
        <v>53</v>
      </c>
      <c r="F59" s="9" t="s">
        <v>50</v>
      </c>
      <c r="G59" s="9" t="s">
        <v>23</v>
      </c>
      <c r="H59" s="9" t="s">
        <v>30</v>
      </c>
      <c r="I59" s="10">
        <v>46167</v>
      </c>
      <c r="J59" s="10">
        <v>46171</v>
      </c>
      <c r="K59" s="10"/>
      <c r="L59" s="10"/>
      <c r="M59" s="9" t="s">
        <v>51</v>
      </c>
      <c r="N59" s="19">
        <v>601775</v>
      </c>
      <c r="O59" s="19"/>
      <c r="P59" s="9">
        <v>12</v>
      </c>
      <c r="Q59" s="9" t="s">
        <v>46</v>
      </c>
      <c r="R59" s="13" t="s">
        <v>267</v>
      </c>
    </row>
    <row r="60" spans="1:18" x14ac:dyDescent="0.3">
      <c r="A60" s="16" t="s">
        <v>116</v>
      </c>
      <c r="B60" s="9" t="s">
        <v>37</v>
      </c>
      <c r="C60" s="9" t="s">
        <v>20</v>
      </c>
      <c r="D60" s="9">
        <v>29</v>
      </c>
      <c r="E60" s="9" t="s">
        <v>53</v>
      </c>
      <c r="F60" s="9" t="s">
        <v>50</v>
      </c>
      <c r="G60" s="9" t="s">
        <v>29</v>
      </c>
      <c r="H60" s="9" t="s">
        <v>34</v>
      </c>
      <c r="I60" s="10">
        <v>46148</v>
      </c>
      <c r="J60" s="10">
        <v>46152</v>
      </c>
      <c r="K60" s="10">
        <v>46156</v>
      </c>
      <c r="L60" s="10"/>
      <c r="M60" s="9" t="s">
        <v>79</v>
      </c>
      <c r="N60" s="19">
        <v>841072</v>
      </c>
      <c r="O60" s="19">
        <v>748996</v>
      </c>
      <c r="P60" s="9">
        <v>11</v>
      </c>
      <c r="Q60" s="9" t="s">
        <v>46</v>
      </c>
      <c r="R60" s="13" t="s">
        <v>267</v>
      </c>
    </row>
    <row r="61" spans="1:18" x14ac:dyDescent="0.3">
      <c r="A61" s="16" t="s">
        <v>117</v>
      </c>
      <c r="B61" s="9" t="s">
        <v>99</v>
      </c>
      <c r="C61" s="9" t="s">
        <v>20</v>
      </c>
      <c r="D61" s="9">
        <v>30</v>
      </c>
      <c r="E61" s="9" t="s">
        <v>44</v>
      </c>
      <c r="F61" s="9" t="s">
        <v>45</v>
      </c>
      <c r="G61" s="9" t="s">
        <v>33</v>
      </c>
      <c r="H61" s="9" t="s">
        <v>54</v>
      </c>
      <c r="I61" s="10">
        <v>46094</v>
      </c>
      <c r="J61" s="10">
        <v>46104</v>
      </c>
      <c r="K61" s="10"/>
      <c r="L61" s="10"/>
      <c r="M61" s="9" t="s">
        <v>35</v>
      </c>
      <c r="N61" s="19">
        <v>355215</v>
      </c>
      <c r="O61" s="19"/>
      <c r="P61" s="9">
        <v>2</v>
      </c>
      <c r="Q61" s="9" t="s">
        <v>42</v>
      </c>
      <c r="R61" s="13" t="s">
        <v>267</v>
      </c>
    </row>
    <row r="62" spans="1:18" x14ac:dyDescent="0.3">
      <c r="A62" s="16" t="s">
        <v>118</v>
      </c>
      <c r="B62" s="9" t="s">
        <v>85</v>
      </c>
      <c r="C62" s="9" t="s">
        <v>38</v>
      </c>
      <c r="D62" s="9">
        <v>34</v>
      </c>
      <c r="E62" s="9" t="s">
        <v>21</v>
      </c>
      <c r="F62" s="9" t="s">
        <v>22</v>
      </c>
      <c r="G62" s="9" t="s">
        <v>56</v>
      </c>
      <c r="H62" s="9" t="s">
        <v>54</v>
      </c>
      <c r="I62" s="10">
        <v>46163</v>
      </c>
      <c r="J62" s="10">
        <v>46171</v>
      </c>
      <c r="K62" s="10"/>
      <c r="L62" s="10"/>
      <c r="M62" s="9" t="s">
        <v>25</v>
      </c>
      <c r="N62" s="19">
        <v>612563</v>
      </c>
      <c r="O62" s="19"/>
      <c r="P62" s="9">
        <v>12</v>
      </c>
      <c r="Q62" s="9" t="s">
        <v>46</v>
      </c>
      <c r="R62" s="13" t="s">
        <v>267</v>
      </c>
    </row>
    <row r="63" spans="1:18" x14ac:dyDescent="0.3">
      <c r="A63" s="16" t="s">
        <v>119</v>
      </c>
      <c r="B63" s="9" t="s">
        <v>19</v>
      </c>
      <c r="C63" s="9" t="s">
        <v>20</v>
      </c>
      <c r="D63" s="9">
        <v>36</v>
      </c>
      <c r="E63" s="9" t="s">
        <v>44</v>
      </c>
      <c r="F63" s="9" t="s">
        <v>45</v>
      </c>
      <c r="G63" s="9" t="s">
        <v>29</v>
      </c>
      <c r="H63" s="9" t="s">
        <v>54</v>
      </c>
      <c r="I63" s="10">
        <v>46134</v>
      </c>
      <c r="J63" s="10">
        <v>46138</v>
      </c>
      <c r="K63" s="10"/>
      <c r="L63" s="10"/>
      <c r="M63" s="9" t="s">
        <v>51</v>
      </c>
      <c r="N63" s="19">
        <v>315035</v>
      </c>
      <c r="O63" s="19"/>
      <c r="P63" s="9">
        <v>8</v>
      </c>
      <c r="Q63" s="9" t="s">
        <v>46</v>
      </c>
      <c r="R63" s="13" t="s">
        <v>267</v>
      </c>
    </row>
    <row r="64" spans="1:18" x14ac:dyDescent="0.3">
      <c r="A64" s="16" t="s">
        <v>120</v>
      </c>
      <c r="B64" s="9" t="s">
        <v>48</v>
      </c>
      <c r="C64" s="9" t="s">
        <v>38</v>
      </c>
      <c r="D64" s="9">
        <v>27</v>
      </c>
      <c r="E64" s="9" t="s">
        <v>21</v>
      </c>
      <c r="F64" s="9" t="s">
        <v>22</v>
      </c>
      <c r="G64" s="9" t="s">
        <v>33</v>
      </c>
      <c r="H64" s="9" t="s">
        <v>57</v>
      </c>
      <c r="I64" s="10">
        <v>46079</v>
      </c>
      <c r="J64" s="10">
        <v>46081</v>
      </c>
      <c r="K64" s="10"/>
      <c r="L64" s="10"/>
      <c r="M64" s="9" t="s">
        <v>35</v>
      </c>
      <c r="N64" s="19">
        <v>321363</v>
      </c>
      <c r="O64" s="19"/>
      <c r="P64" s="9">
        <v>7</v>
      </c>
      <c r="Q64" s="9" t="s">
        <v>46</v>
      </c>
      <c r="R64" s="13" t="s">
        <v>267</v>
      </c>
    </row>
    <row r="65" spans="1:18" x14ac:dyDescent="0.3">
      <c r="A65" s="16" t="s">
        <v>121</v>
      </c>
      <c r="B65" s="9" t="s">
        <v>59</v>
      </c>
      <c r="C65" s="9" t="s">
        <v>38</v>
      </c>
      <c r="D65" s="9">
        <v>22</v>
      </c>
      <c r="E65" s="9" t="s">
        <v>44</v>
      </c>
      <c r="F65" s="9" t="s">
        <v>45</v>
      </c>
      <c r="G65" s="9" t="s">
        <v>29</v>
      </c>
      <c r="H65" s="9" t="s">
        <v>30</v>
      </c>
      <c r="I65" s="10">
        <v>46089</v>
      </c>
      <c r="J65" s="10">
        <v>46093</v>
      </c>
      <c r="K65" s="10"/>
      <c r="L65" s="10"/>
      <c r="M65" s="9" t="s">
        <v>51</v>
      </c>
      <c r="N65" s="19">
        <v>811185</v>
      </c>
      <c r="O65" s="19"/>
      <c r="P65" s="9">
        <v>4</v>
      </c>
      <c r="Q65" s="9" t="s">
        <v>46</v>
      </c>
      <c r="R65" s="13" t="s">
        <v>267</v>
      </c>
    </row>
    <row r="66" spans="1:18" x14ac:dyDescent="0.3">
      <c r="A66" s="16" t="s">
        <v>122</v>
      </c>
      <c r="B66" s="9" t="s">
        <v>37</v>
      </c>
      <c r="C66" s="9" t="s">
        <v>38</v>
      </c>
      <c r="D66" s="9">
        <v>30</v>
      </c>
      <c r="E66" s="9" t="s">
        <v>21</v>
      </c>
      <c r="F66" s="9" t="s">
        <v>22</v>
      </c>
      <c r="G66" s="9" t="s">
        <v>33</v>
      </c>
      <c r="H66" s="9" t="s">
        <v>24</v>
      </c>
      <c r="I66" s="10">
        <v>46187</v>
      </c>
      <c r="J66" s="10">
        <v>46193</v>
      </c>
      <c r="K66" s="10"/>
      <c r="L66" s="10"/>
      <c r="M66" s="9" t="s">
        <v>35</v>
      </c>
      <c r="N66" s="19">
        <v>533912</v>
      </c>
      <c r="O66" s="19"/>
      <c r="P66" s="9">
        <v>4</v>
      </c>
      <c r="Q66" s="9" t="s">
        <v>42</v>
      </c>
      <c r="R66" s="13" t="s">
        <v>267</v>
      </c>
    </row>
    <row r="67" spans="1:18" x14ac:dyDescent="0.3">
      <c r="A67" s="16" t="s">
        <v>123</v>
      </c>
      <c r="B67" s="9" t="s">
        <v>32</v>
      </c>
      <c r="C67" s="9" t="s">
        <v>38</v>
      </c>
      <c r="D67" s="9">
        <v>40</v>
      </c>
      <c r="E67" s="9" t="s">
        <v>21</v>
      </c>
      <c r="F67" s="9" t="s">
        <v>22</v>
      </c>
      <c r="G67" s="9" t="s">
        <v>23</v>
      </c>
      <c r="H67" s="9" t="s">
        <v>57</v>
      </c>
      <c r="I67" s="10">
        <v>46054</v>
      </c>
      <c r="J67" s="10">
        <v>46062</v>
      </c>
      <c r="K67" s="10"/>
      <c r="L67" s="10"/>
      <c r="M67" s="9" t="s">
        <v>70</v>
      </c>
      <c r="N67" s="19">
        <v>612210</v>
      </c>
      <c r="O67" s="19"/>
      <c r="P67" s="9">
        <v>6</v>
      </c>
      <c r="Q67" s="9" t="s">
        <v>26</v>
      </c>
      <c r="R67" s="13" t="s">
        <v>267</v>
      </c>
    </row>
    <row r="68" spans="1:18" x14ac:dyDescent="0.3">
      <c r="A68" s="16" t="s">
        <v>124</v>
      </c>
      <c r="B68" s="9" t="s">
        <v>28</v>
      </c>
      <c r="C68" s="9" t="s">
        <v>20</v>
      </c>
      <c r="D68" s="9">
        <v>32</v>
      </c>
      <c r="E68" s="9" t="s">
        <v>21</v>
      </c>
      <c r="F68" s="9" t="s">
        <v>22</v>
      </c>
      <c r="G68" s="9" t="s">
        <v>33</v>
      </c>
      <c r="H68" s="9" t="s">
        <v>54</v>
      </c>
      <c r="I68" s="10">
        <v>46094</v>
      </c>
      <c r="J68" s="10">
        <v>46097</v>
      </c>
      <c r="K68" s="10"/>
      <c r="L68" s="10"/>
      <c r="M68" s="9" t="s">
        <v>35</v>
      </c>
      <c r="N68" s="19">
        <v>802871</v>
      </c>
      <c r="O68" s="19"/>
      <c r="P68" s="9">
        <v>7</v>
      </c>
      <c r="Q68" s="9" t="s">
        <v>42</v>
      </c>
      <c r="R68" s="13" t="s">
        <v>267</v>
      </c>
    </row>
    <row r="69" spans="1:18" x14ac:dyDescent="0.3">
      <c r="A69" s="16" t="s">
        <v>125</v>
      </c>
      <c r="B69" s="9" t="s">
        <v>32</v>
      </c>
      <c r="C69" s="9" t="s">
        <v>20</v>
      </c>
      <c r="D69" s="9">
        <v>25</v>
      </c>
      <c r="E69" s="9" t="s">
        <v>53</v>
      </c>
      <c r="F69" s="9" t="s">
        <v>50</v>
      </c>
      <c r="G69" s="9" t="s">
        <v>33</v>
      </c>
      <c r="H69" s="9" t="s">
        <v>54</v>
      </c>
      <c r="I69" s="10">
        <v>46058</v>
      </c>
      <c r="J69" s="10">
        <v>46062</v>
      </c>
      <c r="K69" s="10"/>
      <c r="L69" s="10"/>
      <c r="M69" s="9" t="s">
        <v>25</v>
      </c>
      <c r="N69" s="19">
        <v>480550</v>
      </c>
      <c r="O69" s="19"/>
      <c r="P69" s="9">
        <v>6</v>
      </c>
      <c r="Q69" s="9" t="s">
        <v>46</v>
      </c>
      <c r="R69" s="13" t="s">
        <v>267</v>
      </c>
    </row>
    <row r="70" spans="1:18" x14ac:dyDescent="0.3">
      <c r="A70" s="16" t="s">
        <v>126</v>
      </c>
      <c r="B70" s="9" t="s">
        <v>37</v>
      </c>
      <c r="C70" s="9" t="s">
        <v>20</v>
      </c>
      <c r="D70" s="9">
        <v>22</v>
      </c>
      <c r="E70" s="9" t="s">
        <v>49</v>
      </c>
      <c r="F70" s="9" t="s">
        <v>50</v>
      </c>
      <c r="G70" s="9" t="s">
        <v>56</v>
      </c>
      <c r="H70" s="9" t="s">
        <v>57</v>
      </c>
      <c r="I70" s="10">
        <v>46160</v>
      </c>
      <c r="J70" s="10">
        <v>46165</v>
      </c>
      <c r="K70" s="10">
        <v>46172</v>
      </c>
      <c r="L70" s="10">
        <v>46187</v>
      </c>
      <c r="M70" s="9" t="s">
        <v>41</v>
      </c>
      <c r="N70" s="19">
        <v>737478</v>
      </c>
      <c r="O70" s="19">
        <v>337570</v>
      </c>
      <c r="P70" s="9">
        <v>8</v>
      </c>
      <c r="Q70" s="9" t="s">
        <v>46</v>
      </c>
      <c r="R70" s="13">
        <v>27</v>
      </c>
    </row>
    <row r="71" spans="1:18" x14ac:dyDescent="0.3">
      <c r="A71" s="16" t="s">
        <v>127</v>
      </c>
      <c r="B71" s="9" t="s">
        <v>78</v>
      </c>
      <c r="C71" s="9" t="s">
        <v>38</v>
      </c>
      <c r="D71" s="9">
        <v>34</v>
      </c>
      <c r="E71" s="9" t="s">
        <v>39</v>
      </c>
      <c r="F71" s="9" t="s">
        <v>40</v>
      </c>
      <c r="G71" s="9" t="s">
        <v>29</v>
      </c>
      <c r="H71" s="9" t="s">
        <v>57</v>
      </c>
      <c r="I71" s="10">
        <v>46098</v>
      </c>
      <c r="J71" s="10">
        <v>46102</v>
      </c>
      <c r="K71" s="10"/>
      <c r="L71" s="10"/>
      <c r="M71" s="9" t="s">
        <v>70</v>
      </c>
      <c r="N71" s="19">
        <v>345371</v>
      </c>
      <c r="O71" s="19"/>
      <c r="P71" s="9">
        <v>9</v>
      </c>
      <c r="Q71" s="9" t="s">
        <v>46</v>
      </c>
      <c r="R71" s="13" t="s">
        <v>267</v>
      </c>
    </row>
    <row r="72" spans="1:18" x14ac:dyDescent="0.3">
      <c r="A72" s="16" t="s">
        <v>128</v>
      </c>
      <c r="B72" s="9" t="s">
        <v>19</v>
      </c>
      <c r="C72" s="9" t="s">
        <v>20</v>
      </c>
      <c r="D72" s="9">
        <v>31</v>
      </c>
      <c r="E72" s="9" t="s">
        <v>49</v>
      </c>
      <c r="F72" s="9" t="s">
        <v>50</v>
      </c>
      <c r="G72" s="9" t="s">
        <v>23</v>
      </c>
      <c r="H72" s="9" t="s">
        <v>30</v>
      </c>
      <c r="I72" s="10">
        <v>46167</v>
      </c>
      <c r="J72" s="10">
        <v>46170</v>
      </c>
      <c r="K72" s="10">
        <v>46175</v>
      </c>
      <c r="L72" s="10">
        <v>46194</v>
      </c>
      <c r="M72" s="9" t="s">
        <v>41</v>
      </c>
      <c r="N72" s="19">
        <v>745124</v>
      </c>
      <c r="O72" s="19">
        <v>922676</v>
      </c>
      <c r="P72" s="9">
        <v>8</v>
      </c>
      <c r="Q72" s="9" t="s">
        <v>26</v>
      </c>
      <c r="R72" s="13">
        <v>27</v>
      </c>
    </row>
    <row r="73" spans="1:18" x14ac:dyDescent="0.3">
      <c r="A73" s="16" t="s">
        <v>129</v>
      </c>
      <c r="B73" s="9" t="s">
        <v>28</v>
      </c>
      <c r="C73" s="9" t="s">
        <v>20</v>
      </c>
      <c r="D73" s="9">
        <v>31</v>
      </c>
      <c r="E73" s="9" t="s">
        <v>39</v>
      </c>
      <c r="F73" s="9" t="s">
        <v>40</v>
      </c>
      <c r="G73" s="9" t="s">
        <v>23</v>
      </c>
      <c r="H73" s="9" t="s">
        <v>34</v>
      </c>
      <c r="I73" s="10">
        <v>46189</v>
      </c>
      <c r="J73" s="10">
        <v>46193</v>
      </c>
      <c r="K73" s="10"/>
      <c r="L73" s="10"/>
      <c r="M73" s="9" t="s">
        <v>70</v>
      </c>
      <c r="N73" s="19">
        <v>612039</v>
      </c>
      <c r="O73" s="19"/>
      <c r="P73" s="9">
        <v>1</v>
      </c>
      <c r="Q73" s="9" t="s">
        <v>42</v>
      </c>
      <c r="R73" s="13" t="s">
        <v>267</v>
      </c>
    </row>
    <row r="74" spans="1:18" x14ac:dyDescent="0.3">
      <c r="A74" s="16" t="s">
        <v>130</v>
      </c>
      <c r="B74" s="9" t="s">
        <v>37</v>
      </c>
      <c r="C74" s="9" t="s">
        <v>38</v>
      </c>
      <c r="D74" s="9">
        <v>26</v>
      </c>
      <c r="E74" s="9" t="s">
        <v>39</v>
      </c>
      <c r="F74" s="9" t="s">
        <v>40</v>
      </c>
      <c r="G74" s="9" t="s">
        <v>56</v>
      </c>
      <c r="H74" s="9" t="s">
        <v>54</v>
      </c>
      <c r="I74" s="10">
        <v>46025</v>
      </c>
      <c r="J74" s="10">
        <v>46033</v>
      </c>
      <c r="K74" s="10"/>
      <c r="L74" s="10"/>
      <c r="M74" s="9" t="s">
        <v>35</v>
      </c>
      <c r="N74" s="19">
        <v>602637</v>
      </c>
      <c r="O74" s="19"/>
      <c r="P74" s="9">
        <v>3</v>
      </c>
      <c r="Q74" s="9" t="s">
        <v>42</v>
      </c>
      <c r="R74" s="13" t="s">
        <v>267</v>
      </c>
    </row>
    <row r="75" spans="1:18" x14ac:dyDescent="0.3">
      <c r="A75" s="16" t="s">
        <v>131</v>
      </c>
      <c r="B75" s="9" t="s">
        <v>32</v>
      </c>
      <c r="C75" s="9" t="s">
        <v>20</v>
      </c>
      <c r="D75" s="9">
        <v>36</v>
      </c>
      <c r="E75" s="9" t="s">
        <v>39</v>
      </c>
      <c r="F75" s="9" t="s">
        <v>40</v>
      </c>
      <c r="G75" s="9" t="s">
        <v>23</v>
      </c>
      <c r="H75" s="9" t="s">
        <v>54</v>
      </c>
      <c r="I75" s="10">
        <v>46178</v>
      </c>
      <c r="J75" s="10">
        <v>46184</v>
      </c>
      <c r="K75" s="10"/>
      <c r="L75" s="10"/>
      <c r="M75" s="9" t="s">
        <v>25</v>
      </c>
      <c r="N75" s="19">
        <v>476105</v>
      </c>
      <c r="O75" s="19"/>
      <c r="P75" s="9">
        <v>7</v>
      </c>
      <c r="Q75" s="9" t="s">
        <v>26</v>
      </c>
      <c r="R75" s="13" t="s">
        <v>267</v>
      </c>
    </row>
    <row r="76" spans="1:18" x14ac:dyDescent="0.3">
      <c r="A76" s="16" t="s">
        <v>132</v>
      </c>
      <c r="B76" s="9" t="s">
        <v>76</v>
      </c>
      <c r="C76" s="9" t="s">
        <v>38</v>
      </c>
      <c r="D76" s="9">
        <v>29</v>
      </c>
      <c r="E76" s="9" t="s">
        <v>53</v>
      </c>
      <c r="F76" s="9" t="s">
        <v>50</v>
      </c>
      <c r="G76" s="9" t="s">
        <v>23</v>
      </c>
      <c r="H76" s="9" t="s">
        <v>30</v>
      </c>
      <c r="I76" s="10">
        <v>46138</v>
      </c>
      <c r="J76" s="10">
        <v>46146</v>
      </c>
      <c r="K76" s="10">
        <v>46153</v>
      </c>
      <c r="L76" s="10">
        <v>46171</v>
      </c>
      <c r="M76" s="9" t="s">
        <v>41</v>
      </c>
      <c r="N76" s="19">
        <v>818700</v>
      </c>
      <c r="O76" s="19">
        <v>332592</v>
      </c>
      <c r="P76" s="9">
        <v>10</v>
      </c>
      <c r="Q76" s="9" t="s">
        <v>26</v>
      </c>
      <c r="R76" s="13">
        <v>33</v>
      </c>
    </row>
    <row r="77" spans="1:18" x14ac:dyDescent="0.3">
      <c r="A77" s="16" t="s">
        <v>133</v>
      </c>
      <c r="B77" s="9" t="s">
        <v>48</v>
      </c>
      <c r="C77" s="9" t="s">
        <v>38</v>
      </c>
      <c r="D77" s="9">
        <v>37</v>
      </c>
      <c r="E77" s="9" t="s">
        <v>44</v>
      </c>
      <c r="F77" s="9" t="s">
        <v>45</v>
      </c>
      <c r="G77" s="9" t="s">
        <v>33</v>
      </c>
      <c r="H77" s="9" t="s">
        <v>34</v>
      </c>
      <c r="I77" s="10">
        <v>46146</v>
      </c>
      <c r="J77" s="10">
        <v>46154</v>
      </c>
      <c r="K77" s="10"/>
      <c r="L77" s="10"/>
      <c r="M77" s="9" t="s">
        <v>60</v>
      </c>
      <c r="N77" s="19">
        <v>864509</v>
      </c>
      <c r="O77" s="19"/>
      <c r="P77" s="9">
        <v>3</v>
      </c>
      <c r="Q77" s="9" t="s">
        <v>26</v>
      </c>
      <c r="R77" s="13" t="s">
        <v>267</v>
      </c>
    </row>
    <row r="78" spans="1:18" x14ac:dyDescent="0.3">
      <c r="A78" s="16" t="s">
        <v>134</v>
      </c>
      <c r="B78" s="9" t="s">
        <v>59</v>
      </c>
      <c r="C78" s="9" t="s">
        <v>20</v>
      </c>
      <c r="D78" s="9">
        <v>33</v>
      </c>
      <c r="E78" s="9" t="s">
        <v>39</v>
      </c>
      <c r="F78" s="9" t="s">
        <v>40</v>
      </c>
      <c r="G78" s="9" t="s">
        <v>33</v>
      </c>
      <c r="H78" s="9" t="s">
        <v>34</v>
      </c>
      <c r="I78" s="10">
        <v>46133</v>
      </c>
      <c r="J78" s="10">
        <v>46136</v>
      </c>
      <c r="K78" s="10"/>
      <c r="L78" s="10"/>
      <c r="M78" s="9" t="s">
        <v>25</v>
      </c>
      <c r="N78" s="19">
        <v>489925</v>
      </c>
      <c r="O78" s="19"/>
      <c r="P78" s="9">
        <v>4</v>
      </c>
      <c r="Q78" s="9" t="s">
        <v>26</v>
      </c>
      <c r="R78" s="13" t="s">
        <v>267</v>
      </c>
    </row>
    <row r="79" spans="1:18" x14ac:dyDescent="0.3">
      <c r="A79" s="16" t="s">
        <v>135</v>
      </c>
      <c r="B79" s="9" t="s">
        <v>59</v>
      </c>
      <c r="C79" s="9" t="s">
        <v>20</v>
      </c>
      <c r="D79" s="9">
        <v>25</v>
      </c>
      <c r="E79" s="9" t="s">
        <v>53</v>
      </c>
      <c r="F79" s="9" t="s">
        <v>50</v>
      </c>
      <c r="G79" s="9" t="s">
        <v>29</v>
      </c>
      <c r="H79" s="9" t="s">
        <v>30</v>
      </c>
      <c r="I79" s="10">
        <v>46028</v>
      </c>
      <c r="J79" s="10">
        <v>46037</v>
      </c>
      <c r="K79" s="10">
        <v>46039</v>
      </c>
      <c r="L79" s="10">
        <v>46050</v>
      </c>
      <c r="M79" s="9" t="s">
        <v>41</v>
      </c>
      <c r="N79" s="19">
        <v>859428</v>
      </c>
      <c r="O79" s="19">
        <v>510630</v>
      </c>
      <c r="P79" s="9">
        <v>1</v>
      </c>
      <c r="Q79" s="9" t="s">
        <v>26</v>
      </c>
      <c r="R79" s="13">
        <v>22</v>
      </c>
    </row>
    <row r="80" spans="1:18" x14ac:dyDescent="0.3">
      <c r="A80" s="16" t="s">
        <v>136</v>
      </c>
      <c r="B80" s="9" t="s">
        <v>78</v>
      </c>
      <c r="C80" s="9" t="s">
        <v>38</v>
      </c>
      <c r="D80" s="9">
        <v>37</v>
      </c>
      <c r="E80" s="9" t="s">
        <v>44</v>
      </c>
      <c r="F80" s="9" t="s">
        <v>45</v>
      </c>
      <c r="G80" s="9" t="s">
        <v>23</v>
      </c>
      <c r="H80" s="9" t="s">
        <v>30</v>
      </c>
      <c r="I80" s="10">
        <v>46105</v>
      </c>
      <c r="J80" s="10">
        <v>46112</v>
      </c>
      <c r="K80" s="10">
        <v>46117</v>
      </c>
      <c r="L80" s="10"/>
      <c r="M80" s="9" t="s">
        <v>79</v>
      </c>
      <c r="N80" s="19">
        <v>710084</v>
      </c>
      <c r="O80" s="19">
        <v>645365</v>
      </c>
      <c r="P80" s="9">
        <v>10</v>
      </c>
      <c r="Q80" s="9" t="s">
        <v>26</v>
      </c>
      <c r="R80" s="13" t="s">
        <v>267</v>
      </c>
    </row>
    <row r="81" spans="1:18" x14ac:dyDescent="0.3">
      <c r="A81" s="16" t="s">
        <v>137</v>
      </c>
      <c r="B81" s="9" t="s">
        <v>19</v>
      </c>
      <c r="C81" s="9" t="s">
        <v>38</v>
      </c>
      <c r="D81" s="9">
        <v>39</v>
      </c>
      <c r="E81" s="9" t="s">
        <v>44</v>
      </c>
      <c r="F81" s="9" t="s">
        <v>45</v>
      </c>
      <c r="G81" s="9" t="s">
        <v>56</v>
      </c>
      <c r="H81" s="9" t="s">
        <v>54</v>
      </c>
      <c r="I81" s="10">
        <v>46072</v>
      </c>
      <c r="J81" s="10">
        <v>46077</v>
      </c>
      <c r="K81" s="10">
        <v>46084</v>
      </c>
      <c r="L81" s="10"/>
      <c r="M81" s="9" t="s">
        <v>79</v>
      </c>
      <c r="N81" s="19">
        <v>304794</v>
      </c>
      <c r="O81" s="19">
        <v>896804</v>
      </c>
      <c r="P81" s="9">
        <v>9</v>
      </c>
      <c r="Q81" s="9" t="s">
        <v>42</v>
      </c>
      <c r="R81" s="13" t="s">
        <v>267</v>
      </c>
    </row>
    <row r="82" spans="1:18" x14ac:dyDescent="0.3">
      <c r="A82" s="16" t="s">
        <v>138</v>
      </c>
      <c r="B82" s="9" t="s">
        <v>99</v>
      </c>
      <c r="C82" s="9" t="s">
        <v>38</v>
      </c>
      <c r="D82" s="9">
        <v>37</v>
      </c>
      <c r="E82" s="9" t="s">
        <v>44</v>
      </c>
      <c r="F82" s="9" t="s">
        <v>45</v>
      </c>
      <c r="G82" s="9" t="s">
        <v>33</v>
      </c>
      <c r="H82" s="9" t="s">
        <v>54</v>
      </c>
      <c r="I82" s="10">
        <v>46191</v>
      </c>
      <c r="J82" s="10">
        <v>46195</v>
      </c>
      <c r="K82" s="10"/>
      <c r="L82" s="10"/>
      <c r="M82" s="9" t="s">
        <v>70</v>
      </c>
      <c r="N82" s="19">
        <v>876897</v>
      </c>
      <c r="O82" s="19"/>
      <c r="P82" s="9">
        <v>1</v>
      </c>
      <c r="Q82" s="9" t="s">
        <v>26</v>
      </c>
      <c r="R82" s="13" t="s">
        <v>267</v>
      </c>
    </row>
    <row r="83" spans="1:18" x14ac:dyDescent="0.3">
      <c r="A83" s="16" t="s">
        <v>139</v>
      </c>
      <c r="B83" s="9" t="s">
        <v>78</v>
      </c>
      <c r="C83" s="9" t="s">
        <v>38</v>
      </c>
      <c r="D83" s="9">
        <v>36</v>
      </c>
      <c r="E83" s="9" t="s">
        <v>39</v>
      </c>
      <c r="F83" s="9" t="s">
        <v>40</v>
      </c>
      <c r="G83" s="9" t="s">
        <v>23</v>
      </c>
      <c r="H83" s="9" t="s">
        <v>24</v>
      </c>
      <c r="I83" s="10">
        <v>46161</v>
      </c>
      <c r="J83" s="10">
        <v>46171</v>
      </c>
      <c r="K83" s="10"/>
      <c r="L83" s="10"/>
      <c r="M83" s="9" t="s">
        <v>25</v>
      </c>
      <c r="N83" s="19">
        <v>700759</v>
      </c>
      <c r="O83" s="19"/>
      <c r="P83" s="9">
        <v>7</v>
      </c>
      <c r="Q83" s="9" t="s">
        <v>26</v>
      </c>
      <c r="R83" s="13" t="s">
        <v>267</v>
      </c>
    </row>
    <row r="84" spans="1:18" x14ac:dyDescent="0.3">
      <c r="A84" s="16" t="s">
        <v>140</v>
      </c>
      <c r="B84" s="9" t="s">
        <v>37</v>
      </c>
      <c r="C84" s="9" t="s">
        <v>20</v>
      </c>
      <c r="D84" s="9">
        <v>21</v>
      </c>
      <c r="E84" s="9" t="s">
        <v>49</v>
      </c>
      <c r="F84" s="9" t="s">
        <v>50</v>
      </c>
      <c r="G84" s="9" t="s">
        <v>29</v>
      </c>
      <c r="H84" s="9" t="s">
        <v>30</v>
      </c>
      <c r="I84" s="10">
        <v>46099</v>
      </c>
      <c r="J84" s="10">
        <v>46103</v>
      </c>
      <c r="K84" s="10">
        <v>46105</v>
      </c>
      <c r="L84" s="10">
        <v>46114</v>
      </c>
      <c r="M84" s="9" t="s">
        <v>41</v>
      </c>
      <c r="N84" s="19">
        <v>838959</v>
      </c>
      <c r="O84" s="19">
        <v>471940</v>
      </c>
      <c r="P84" s="9">
        <v>10</v>
      </c>
      <c r="Q84" s="9" t="s">
        <v>42</v>
      </c>
      <c r="R84" s="13">
        <v>15</v>
      </c>
    </row>
    <row r="85" spans="1:18" x14ac:dyDescent="0.3">
      <c r="A85" s="16" t="s">
        <v>141</v>
      </c>
      <c r="B85" s="9" t="s">
        <v>48</v>
      </c>
      <c r="C85" s="9" t="s">
        <v>38</v>
      </c>
      <c r="D85" s="9">
        <v>33</v>
      </c>
      <c r="E85" s="9" t="s">
        <v>39</v>
      </c>
      <c r="F85" s="9" t="s">
        <v>40</v>
      </c>
      <c r="G85" s="9" t="s">
        <v>56</v>
      </c>
      <c r="H85" s="9" t="s">
        <v>57</v>
      </c>
      <c r="I85" s="10">
        <v>46164</v>
      </c>
      <c r="J85" s="10">
        <v>46173</v>
      </c>
      <c r="K85" s="10">
        <v>46179</v>
      </c>
      <c r="L85" s="10"/>
      <c r="M85" s="9" t="s">
        <v>79</v>
      </c>
      <c r="N85" s="19">
        <v>455939</v>
      </c>
      <c r="O85" s="19">
        <v>828185</v>
      </c>
      <c r="P85" s="9">
        <v>6</v>
      </c>
      <c r="Q85" s="9" t="s">
        <v>42</v>
      </c>
      <c r="R85" s="13" t="s">
        <v>267</v>
      </c>
    </row>
    <row r="86" spans="1:18" x14ac:dyDescent="0.3">
      <c r="A86" s="16" t="s">
        <v>142</v>
      </c>
      <c r="B86" s="9" t="s">
        <v>59</v>
      </c>
      <c r="C86" s="9" t="s">
        <v>20</v>
      </c>
      <c r="D86" s="9">
        <v>21</v>
      </c>
      <c r="E86" s="9" t="s">
        <v>53</v>
      </c>
      <c r="F86" s="9" t="s">
        <v>50</v>
      </c>
      <c r="G86" s="9" t="s">
        <v>29</v>
      </c>
      <c r="H86" s="9" t="s">
        <v>30</v>
      </c>
      <c r="I86" s="10">
        <v>46096</v>
      </c>
      <c r="J86" s="10">
        <v>46103</v>
      </c>
      <c r="K86" s="10"/>
      <c r="L86" s="10"/>
      <c r="M86" s="9" t="s">
        <v>35</v>
      </c>
      <c r="N86" s="19">
        <v>602932</v>
      </c>
      <c r="O86" s="19"/>
      <c r="P86" s="9">
        <v>6</v>
      </c>
      <c r="Q86" s="9" t="s">
        <v>42</v>
      </c>
      <c r="R86" s="13" t="s">
        <v>267</v>
      </c>
    </row>
    <row r="87" spans="1:18" x14ac:dyDescent="0.3">
      <c r="A87" s="16" t="s">
        <v>143</v>
      </c>
      <c r="B87" s="9" t="s">
        <v>37</v>
      </c>
      <c r="C87" s="9" t="s">
        <v>38</v>
      </c>
      <c r="D87" s="9">
        <v>32</v>
      </c>
      <c r="E87" s="9" t="s">
        <v>49</v>
      </c>
      <c r="F87" s="9" t="s">
        <v>50</v>
      </c>
      <c r="G87" s="9" t="s">
        <v>56</v>
      </c>
      <c r="H87" s="9" t="s">
        <v>34</v>
      </c>
      <c r="I87" s="10">
        <v>46034</v>
      </c>
      <c r="J87" s="10">
        <v>46037</v>
      </c>
      <c r="K87" s="10"/>
      <c r="L87" s="10"/>
      <c r="M87" s="9" t="s">
        <v>25</v>
      </c>
      <c r="N87" s="19">
        <v>477965</v>
      </c>
      <c r="O87" s="19"/>
      <c r="P87" s="9">
        <v>10</v>
      </c>
      <c r="Q87" s="9" t="s">
        <v>46</v>
      </c>
      <c r="R87" s="13" t="s">
        <v>267</v>
      </c>
    </row>
    <row r="88" spans="1:18" x14ac:dyDescent="0.3">
      <c r="A88" s="16" t="s">
        <v>144</v>
      </c>
      <c r="B88" s="9" t="s">
        <v>85</v>
      </c>
      <c r="C88" s="9" t="s">
        <v>38</v>
      </c>
      <c r="D88" s="9">
        <v>29</v>
      </c>
      <c r="E88" s="9" t="s">
        <v>39</v>
      </c>
      <c r="F88" s="9" t="s">
        <v>40</v>
      </c>
      <c r="G88" s="9" t="s">
        <v>29</v>
      </c>
      <c r="H88" s="9" t="s">
        <v>30</v>
      </c>
      <c r="I88" s="10">
        <v>46162</v>
      </c>
      <c r="J88" s="10">
        <v>46169</v>
      </c>
      <c r="K88" s="10">
        <v>46173</v>
      </c>
      <c r="L88" s="10"/>
      <c r="M88" s="9" t="s">
        <v>79</v>
      </c>
      <c r="N88" s="19">
        <v>823573</v>
      </c>
      <c r="O88" s="19">
        <v>921562</v>
      </c>
      <c r="P88" s="9">
        <v>9</v>
      </c>
      <c r="Q88" s="9" t="s">
        <v>42</v>
      </c>
      <c r="R88" s="13" t="s">
        <v>267</v>
      </c>
    </row>
    <row r="89" spans="1:18" x14ac:dyDescent="0.3">
      <c r="A89" s="16" t="s">
        <v>145</v>
      </c>
      <c r="B89" s="9" t="s">
        <v>37</v>
      </c>
      <c r="C89" s="9" t="s">
        <v>38</v>
      </c>
      <c r="D89" s="9">
        <v>22</v>
      </c>
      <c r="E89" s="9" t="s">
        <v>39</v>
      </c>
      <c r="F89" s="9" t="s">
        <v>40</v>
      </c>
      <c r="G89" s="9" t="s">
        <v>33</v>
      </c>
      <c r="H89" s="9" t="s">
        <v>57</v>
      </c>
      <c r="I89" s="10">
        <v>46093</v>
      </c>
      <c r="J89" s="10">
        <v>46097</v>
      </c>
      <c r="K89" s="10"/>
      <c r="L89" s="10"/>
      <c r="M89" s="9" t="s">
        <v>70</v>
      </c>
      <c r="N89" s="19">
        <v>747667</v>
      </c>
      <c r="O89" s="19"/>
      <c r="P89" s="9">
        <v>10</v>
      </c>
      <c r="Q89" s="9" t="s">
        <v>46</v>
      </c>
      <c r="R89" s="13" t="s">
        <v>267</v>
      </c>
    </row>
    <row r="90" spans="1:18" x14ac:dyDescent="0.3">
      <c r="A90" s="16" t="s">
        <v>146</v>
      </c>
      <c r="B90" s="9" t="s">
        <v>19</v>
      </c>
      <c r="C90" s="9" t="s">
        <v>20</v>
      </c>
      <c r="D90" s="9">
        <v>34</v>
      </c>
      <c r="E90" s="9" t="s">
        <v>21</v>
      </c>
      <c r="F90" s="9" t="s">
        <v>22</v>
      </c>
      <c r="G90" s="9" t="s">
        <v>23</v>
      </c>
      <c r="H90" s="9" t="s">
        <v>57</v>
      </c>
      <c r="I90" s="10">
        <v>46108</v>
      </c>
      <c r="J90" s="10">
        <v>46114</v>
      </c>
      <c r="K90" s="10"/>
      <c r="L90" s="10"/>
      <c r="M90" s="9" t="s">
        <v>25</v>
      </c>
      <c r="N90" s="19">
        <v>391369</v>
      </c>
      <c r="O90" s="19"/>
      <c r="P90" s="9">
        <v>6</v>
      </c>
      <c r="Q90" s="9" t="s">
        <v>46</v>
      </c>
      <c r="R90" s="13" t="s">
        <v>267</v>
      </c>
    </row>
    <row r="91" spans="1:18" x14ac:dyDescent="0.3">
      <c r="A91" s="16" t="s">
        <v>147</v>
      </c>
      <c r="B91" s="9" t="s">
        <v>32</v>
      </c>
      <c r="C91" s="9" t="s">
        <v>38</v>
      </c>
      <c r="D91" s="9">
        <v>40</v>
      </c>
      <c r="E91" s="9" t="s">
        <v>21</v>
      </c>
      <c r="F91" s="9" t="s">
        <v>22</v>
      </c>
      <c r="G91" s="9" t="s">
        <v>29</v>
      </c>
      <c r="H91" s="9" t="s">
        <v>24</v>
      </c>
      <c r="I91" s="10">
        <v>46149</v>
      </c>
      <c r="J91" s="10">
        <v>46159</v>
      </c>
      <c r="K91" s="10"/>
      <c r="L91" s="10"/>
      <c r="M91" s="9" t="s">
        <v>35</v>
      </c>
      <c r="N91" s="19">
        <v>433895</v>
      </c>
      <c r="O91" s="19"/>
      <c r="P91" s="9">
        <v>6</v>
      </c>
      <c r="Q91" s="9" t="s">
        <v>46</v>
      </c>
      <c r="R91" s="13" t="s">
        <v>267</v>
      </c>
    </row>
    <row r="92" spans="1:18" x14ac:dyDescent="0.3">
      <c r="A92" s="16" t="s">
        <v>148</v>
      </c>
      <c r="B92" s="9" t="s">
        <v>78</v>
      </c>
      <c r="C92" s="9" t="s">
        <v>20</v>
      </c>
      <c r="D92" s="9">
        <v>30</v>
      </c>
      <c r="E92" s="9" t="s">
        <v>49</v>
      </c>
      <c r="F92" s="9" t="s">
        <v>50</v>
      </c>
      <c r="G92" s="9" t="s">
        <v>56</v>
      </c>
      <c r="H92" s="9" t="s">
        <v>57</v>
      </c>
      <c r="I92" s="10">
        <v>46031</v>
      </c>
      <c r="J92" s="10">
        <v>46038</v>
      </c>
      <c r="K92" s="10">
        <v>46045</v>
      </c>
      <c r="L92" s="10">
        <v>46055</v>
      </c>
      <c r="M92" s="9" t="s">
        <v>41</v>
      </c>
      <c r="N92" s="19">
        <v>557149</v>
      </c>
      <c r="O92" s="19">
        <v>388094</v>
      </c>
      <c r="P92" s="9">
        <v>8</v>
      </c>
      <c r="Q92" s="9" t="s">
        <v>46</v>
      </c>
      <c r="R92" s="13">
        <v>24</v>
      </c>
    </row>
    <row r="93" spans="1:18" x14ac:dyDescent="0.3">
      <c r="A93" s="16" t="s">
        <v>149</v>
      </c>
      <c r="B93" s="9" t="s">
        <v>85</v>
      </c>
      <c r="C93" s="9" t="s">
        <v>20</v>
      </c>
      <c r="D93" s="9">
        <v>34</v>
      </c>
      <c r="E93" s="9" t="s">
        <v>49</v>
      </c>
      <c r="F93" s="9" t="s">
        <v>50</v>
      </c>
      <c r="G93" s="9" t="s">
        <v>29</v>
      </c>
      <c r="H93" s="9" t="s">
        <v>54</v>
      </c>
      <c r="I93" s="10">
        <v>46044</v>
      </c>
      <c r="J93" s="10">
        <v>46048</v>
      </c>
      <c r="K93" s="10"/>
      <c r="L93" s="10"/>
      <c r="M93" s="9" t="s">
        <v>51</v>
      </c>
      <c r="N93" s="19">
        <v>450068</v>
      </c>
      <c r="O93" s="19"/>
      <c r="P93" s="9">
        <v>3</v>
      </c>
      <c r="Q93" s="9" t="s">
        <v>42</v>
      </c>
      <c r="R93" s="13" t="s">
        <v>267</v>
      </c>
    </row>
    <row r="94" spans="1:18" x14ac:dyDescent="0.3">
      <c r="A94" s="16" t="s">
        <v>150</v>
      </c>
      <c r="B94" s="9" t="s">
        <v>85</v>
      </c>
      <c r="C94" s="9" t="s">
        <v>20</v>
      </c>
      <c r="D94" s="9">
        <v>37</v>
      </c>
      <c r="E94" s="9" t="s">
        <v>53</v>
      </c>
      <c r="F94" s="9" t="s">
        <v>50</v>
      </c>
      <c r="G94" s="9" t="s">
        <v>33</v>
      </c>
      <c r="H94" s="9" t="s">
        <v>24</v>
      </c>
      <c r="I94" s="10">
        <v>46172</v>
      </c>
      <c r="J94" s="10">
        <v>46176</v>
      </c>
      <c r="K94" s="10">
        <v>46183</v>
      </c>
      <c r="L94" s="10"/>
      <c r="M94" s="9" t="s">
        <v>79</v>
      </c>
      <c r="N94" s="19">
        <v>468768</v>
      </c>
      <c r="O94" s="19">
        <v>748572</v>
      </c>
      <c r="P94" s="9">
        <v>5</v>
      </c>
      <c r="Q94" s="9" t="s">
        <v>26</v>
      </c>
      <c r="R94" s="13" t="s">
        <v>267</v>
      </c>
    </row>
    <row r="95" spans="1:18" x14ac:dyDescent="0.3">
      <c r="A95" s="16" t="s">
        <v>151</v>
      </c>
      <c r="B95" s="9" t="s">
        <v>76</v>
      </c>
      <c r="C95" s="9" t="s">
        <v>38</v>
      </c>
      <c r="D95" s="9">
        <v>25</v>
      </c>
      <c r="E95" s="9" t="s">
        <v>53</v>
      </c>
      <c r="F95" s="9" t="s">
        <v>50</v>
      </c>
      <c r="G95" s="9" t="s">
        <v>23</v>
      </c>
      <c r="H95" s="9" t="s">
        <v>54</v>
      </c>
      <c r="I95" s="10">
        <v>46084</v>
      </c>
      <c r="J95" s="10">
        <v>46093</v>
      </c>
      <c r="K95" s="10"/>
      <c r="L95" s="10"/>
      <c r="M95" s="9" t="s">
        <v>70</v>
      </c>
      <c r="N95" s="19">
        <v>846935</v>
      </c>
      <c r="O95" s="19"/>
      <c r="P95" s="9">
        <v>3</v>
      </c>
      <c r="Q95" s="9" t="s">
        <v>26</v>
      </c>
      <c r="R95" s="13" t="s">
        <v>267</v>
      </c>
    </row>
    <row r="96" spans="1:18" x14ac:dyDescent="0.3">
      <c r="A96" s="16" t="s">
        <v>152</v>
      </c>
      <c r="B96" s="9" t="s">
        <v>32</v>
      </c>
      <c r="C96" s="9" t="s">
        <v>38</v>
      </c>
      <c r="D96" s="9">
        <v>36</v>
      </c>
      <c r="E96" s="9" t="s">
        <v>53</v>
      </c>
      <c r="F96" s="9" t="s">
        <v>50</v>
      </c>
      <c r="G96" s="9" t="s">
        <v>33</v>
      </c>
      <c r="H96" s="9" t="s">
        <v>34</v>
      </c>
      <c r="I96" s="10">
        <v>46075</v>
      </c>
      <c r="J96" s="10">
        <v>46077</v>
      </c>
      <c r="K96" s="10"/>
      <c r="L96" s="10"/>
      <c r="M96" s="9" t="s">
        <v>70</v>
      </c>
      <c r="N96" s="19">
        <v>879145</v>
      </c>
      <c r="O96" s="19"/>
      <c r="P96" s="9">
        <v>5</v>
      </c>
      <c r="Q96" s="9" t="s">
        <v>42</v>
      </c>
      <c r="R96" s="13" t="s">
        <v>267</v>
      </c>
    </row>
    <row r="97" spans="1:18" x14ac:dyDescent="0.3">
      <c r="A97" s="16" t="s">
        <v>153</v>
      </c>
      <c r="B97" s="9" t="s">
        <v>99</v>
      </c>
      <c r="C97" s="9" t="s">
        <v>38</v>
      </c>
      <c r="D97" s="9">
        <v>37</v>
      </c>
      <c r="E97" s="9" t="s">
        <v>21</v>
      </c>
      <c r="F97" s="9" t="s">
        <v>22</v>
      </c>
      <c r="G97" s="9" t="s">
        <v>56</v>
      </c>
      <c r="H97" s="9" t="s">
        <v>30</v>
      </c>
      <c r="I97" s="10">
        <v>46145</v>
      </c>
      <c r="J97" s="10">
        <v>46154</v>
      </c>
      <c r="K97" s="10"/>
      <c r="L97" s="10"/>
      <c r="M97" s="9" t="s">
        <v>60</v>
      </c>
      <c r="N97" s="19">
        <v>676636</v>
      </c>
      <c r="O97" s="19"/>
      <c r="P97" s="9">
        <v>7</v>
      </c>
      <c r="Q97" s="9" t="s">
        <v>26</v>
      </c>
      <c r="R97" s="13" t="s">
        <v>267</v>
      </c>
    </row>
    <row r="98" spans="1:18" x14ac:dyDescent="0.3">
      <c r="A98" s="16" t="s">
        <v>154</v>
      </c>
      <c r="B98" s="9" t="s">
        <v>28</v>
      </c>
      <c r="C98" s="9" t="s">
        <v>20</v>
      </c>
      <c r="D98" s="9">
        <v>32</v>
      </c>
      <c r="E98" s="9" t="s">
        <v>39</v>
      </c>
      <c r="F98" s="9" t="s">
        <v>40</v>
      </c>
      <c r="G98" s="9" t="s">
        <v>56</v>
      </c>
      <c r="H98" s="9" t="s">
        <v>34</v>
      </c>
      <c r="I98" s="10">
        <v>46139</v>
      </c>
      <c r="J98" s="10">
        <v>46144</v>
      </c>
      <c r="K98" s="10"/>
      <c r="L98" s="10"/>
      <c r="M98" s="9" t="s">
        <v>70</v>
      </c>
      <c r="N98" s="19">
        <v>588268</v>
      </c>
      <c r="O98" s="19"/>
      <c r="P98" s="9">
        <v>4</v>
      </c>
      <c r="Q98" s="9" t="s">
        <v>42</v>
      </c>
      <c r="R98" s="13" t="s">
        <v>267</v>
      </c>
    </row>
    <row r="99" spans="1:18" x14ac:dyDescent="0.3">
      <c r="A99" s="16" t="s">
        <v>155</v>
      </c>
      <c r="B99" s="9" t="s">
        <v>99</v>
      </c>
      <c r="C99" s="9" t="s">
        <v>38</v>
      </c>
      <c r="D99" s="9">
        <v>31</v>
      </c>
      <c r="E99" s="9" t="s">
        <v>53</v>
      </c>
      <c r="F99" s="9" t="s">
        <v>50</v>
      </c>
      <c r="G99" s="9" t="s">
        <v>56</v>
      </c>
      <c r="H99" s="9" t="s">
        <v>57</v>
      </c>
      <c r="I99" s="10">
        <v>46079</v>
      </c>
      <c r="J99" s="10">
        <v>46087</v>
      </c>
      <c r="K99" s="10"/>
      <c r="L99" s="10"/>
      <c r="M99" s="9" t="s">
        <v>51</v>
      </c>
      <c r="N99" s="19">
        <v>788762</v>
      </c>
      <c r="O99" s="19"/>
      <c r="P99" s="9">
        <v>6</v>
      </c>
      <c r="Q99" s="9" t="s">
        <v>46</v>
      </c>
      <c r="R99" s="13" t="s">
        <v>267</v>
      </c>
    </row>
    <row r="100" spans="1:18" x14ac:dyDescent="0.3">
      <c r="A100" s="16" t="s">
        <v>156</v>
      </c>
      <c r="B100" s="9" t="s">
        <v>19</v>
      </c>
      <c r="C100" s="9" t="s">
        <v>38</v>
      </c>
      <c r="D100" s="9">
        <v>24</v>
      </c>
      <c r="E100" s="9" t="s">
        <v>53</v>
      </c>
      <c r="F100" s="9" t="s">
        <v>50</v>
      </c>
      <c r="G100" s="9" t="s">
        <v>33</v>
      </c>
      <c r="H100" s="9" t="s">
        <v>30</v>
      </c>
      <c r="I100" s="10">
        <v>46061</v>
      </c>
      <c r="J100" s="10">
        <v>46065</v>
      </c>
      <c r="K100" s="10"/>
      <c r="L100" s="10"/>
      <c r="M100" s="9" t="s">
        <v>51</v>
      </c>
      <c r="N100" s="19">
        <v>767398</v>
      </c>
      <c r="O100" s="19"/>
      <c r="P100" s="9">
        <v>12</v>
      </c>
      <c r="Q100" s="9" t="s">
        <v>26</v>
      </c>
      <c r="R100" s="13" t="s">
        <v>267</v>
      </c>
    </row>
    <row r="101" spans="1:18" x14ac:dyDescent="0.3">
      <c r="A101" s="16" t="s">
        <v>157</v>
      </c>
      <c r="B101" s="9" t="s">
        <v>19</v>
      </c>
      <c r="C101" s="9" t="s">
        <v>38</v>
      </c>
      <c r="D101" s="9">
        <v>31</v>
      </c>
      <c r="E101" s="9" t="s">
        <v>21</v>
      </c>
      <c r="F101" s="9" t="s">
        <v>22</v>
      </c>
      <c r="G101" s="9" t="s">
        <v>56</v>
      </c>
      <c r="H101" s="9" t="s">
        <v>24</v>
      </c>
      <c r="I101" s="10">
        <v>46103</v>
      </c>
      <c r="J101" s="10">
        <v>46110</v>
      </c>
      <c r="K101" s="10">
        <v>46117</v>
      </c>
      <c r="L101" s="10">
        <v>46131</v>
      </c>
      <c r="M101" s="9" t="s">
        <v>41</v>
      </c>
      <c r="N101" s="19">
        <v>444354</v>
      </c>
      <c r="O101" s="19">
        <v>494261</v>
      </c>
      <c r="P101" s="9">
        <v>10</v>
      </c>
      <c r="Q101" s="9" t="s">
        <v>46</v>
      </c>
      <c r="R101" s="13">
        <v>28</v>
      </c>
    </row>
    <row r="102" spans="1:18" x14ac:dyDescent="0.3">
      <c r="A102" s="16" t="s">
        <v>158</v>
      </c>
      <c r="B102" s="9" t="s">
        <v>19</v>
      </c>
      <c r="C102" s="9" t="s">
        <v>38</v>
      </c>
      <c r="D102" s="9">
        <v>26</v>
      </c>
      <c r="E102" s="9" t="s">
        <v>44</v>
      </c>
      <c r="F102" s="9" t="s">
        <v>45</v>
      </c>
      <c r="G102" s="9" t="s">
        <v>56</v>
      </c>
      <c r="H102" s="9" t="s">
        <v>54</v>
      </c>
      <c r="I102" s="10">
        <v>46040</v>
      </c>
      <c r="J102" s="10">
        <v>46050</v>
      </c>
      <c r="K102" s="10"/>
      <c r="L102" s="10"/>
      <c r="M102" s="9" t="s">
        <v>70</v>
      </c>
      <c r="N102" s="19">
        <v>398688</v>
      </c>
      <c r="O102" s="19"/>
      <c r="P102" s="9">
        <v>3</v>
      </c>
      <c r="Q102" s="9" t="s">
        <v>26</v>
      </c>
      <c r="R102" s="13" t="s">
        <v>267</v>
      </c>
    </row>
    <row r="103" spans="1:18" x14ac:dyDescent="0.3">
      <c r="A103" s="16" t="s">
        <v>159</v>
      </c>
      <c r="B103" s="9" t="s">
        <v>76</v>
      </c>
      <c r="C103" s="9" t="s">
        <v>20</v>
      </c>
      <c r="D103" s="9">
        <v>31</v>
      </c>
      <c r="E103" s="9" t="s">
        <v>39</v>
      </c>
      <c r="F103" s="9" t="s">
        <v>40</v>
      </c>
      <c r="G103" s="9" t="s">
        <v>56</v>
      </c>
      <c r="H103" s="9" t="s">
        <v>54</v>
      </c>
      <c r="I103" s="10">
        <v>46042</v>
      </c>
      <c r="J103" s="10">
        <v>46049</v>
      </c>
      <c r="K103" s="10">
        <v>46053</v>
      </c>
      <c r="L103" s="10">
        <v>46058</v>
      </c>
      <c r="M103" s="9" t="s">
        <v>41</v>
      </c>
      <c r="N103" s="19">
        <v>476846</v>
      </c>
      <c r="O103" s="19">
        <v>653529</v>
      </c>
      <c r="P103" s="9">
        <v>9</v>
      </c>
      <c r="Q103" s="9" t="s">
        <v>26</v>
      </c>
      <c r="R103" s="13">
        <v>16</v>
      </c>
    </row>
    <row r="104" spans="1:18" x14ac:dyDescent="0.3">
      <c r="A104" s="16" t="s">
        <v>160</v>
      </c>
      <c r="B104" s="9" t="s">
        <v>19</v>
      </c>
      <c r="C104" s="9" t="s">
        <v>38</v>
      </c>
      <c r="D104" s="9">
        <v>33</v>
      </c>
      <c r="E104" s="9" t="s">
        <v>49</v>
      </c>
      <c r="F104" s="9" t="s">
        <v>50</v>
      </c>
      <c r="G104" s="9" t="s">
        <v>23</v>
      </c>
      <c r="H104" s="9" t="s">
        <v>57</v>
      </c>
      <c r="I104" s="10">
        <v>46160</v>
      </c>
      <c r="J104" s="10">
        <v>46164</v>
      </c>
      <c r="K104" s="10"/>
      <c r="L104" s="10"/>
      <c r="M104" s="9" t="s">
        <v>35</v>
      </c>
      <c r="N104" s="19">
        <v>500484</v>
      </c>
      <c r="O104" s="19"/>
      <c r="P104" s="9">
        <v>11</v>
      </c>
      <c r="Q104" s="9" t="s">
        <v>46</v>
      </c>
      <c r="R104" s="13" t="s">
        <v>267</v>
      </c>
    </row>
    <row r="105" spans="1:18" x14ac:dyDescent="0.3">
      <c r="A105" s="16" t="s">
        <v>161</v>
      </c>
      <c r="B105" s="9" t="s">
        <v>37</v>
      </c>
      <c r="C105" s="9" t="s">
        <v>38</v>
      </c>
      <c r="D105" s="9">
        <v>30</v>
      </c>
      <c r="E105" s="9" t="s">
        <v>39</v>
      </c>
      <c r="F105" s="9" t="s">
        <v>40</v>
      </c>
      <c r="G105" s="9" t="s">
        <v>23</v>
      </c>
      <c r="H105" s="9" t="s">
        <v>24</v>
      </c>
      <c r="I105" s="10">
        <v>46146</v>
      </c>
      <c r="J105" s="10">
        <v>46152</v>
      </c>
      <c r="K105" s="10">
        <v>46154</v>
      </c>
      <c r="L105" s="10"/>
      <c r="M105" s="9" t="s">
        <v>79</v>
      </c>
      <c r="N105" s="19">
        <v>310673</v>
      </c>
      <c r="O105" s="19">
        <v>320381</v>
      </c>
      <c r="P105" s="9">
        <v>2</v>
      </c>
      <c r="Q105" s="9" t="s">
        <v>42</v>
      </c>
      <c r="R105" s="13" t="s">
        <v>267</v>
      </c>
    </row>
    <row r="106" spans="1:18" x14ac:dyDescent="0.3">
      <c r="A106" s="16" t="s">
        <v>162</v>
      </c>
      <c r="B106" s="9" t="s">
        <v>19</v>
      </c>
      <c r="C106" s="9" t="s">
        <v>38</v>
      </c>
      <c r="D106" s="9">
        <v>21</v>
      </c>
      <c r="E106" s="9" t="s">
        <v>39</v>
      </c>
      <c r="F106" s="9" t="s">
        <v>40</v>
      </c>
      <c r="G106" s="9" t="s">
        <v>33</v>
      </c>
      <c r="H106" s="9" t="s">
        <v>54</v>
      </c>
      <c r="I106" s="10">
        <v>46129</v>
      </c>
      <c r="J106" s="10">
        <v>46135</v>
      </c>
      <c r="K106" s="10"/>
      <c r="L106" s="10"/>
      <c r="M106" s="9" t="s">
        <v>60</v>
      </c>
      <c r="N106" s="19">
        <v>651545</v>
      </c>
      <c r="O106" s="19"/>
      <c r="P106" s="9">
        <v>2</v>
      </c>
      <c r="Q106" s="9" t="s">
        <v>42</v>
      </c>
      <c r="R106" s="13" t="s">
        <v>267</v>
      </c>
    </row>
    <row r="107" spans="1:18" x14ac:dyDescent="0.3">
      <c r="A107" s="16" t="s">
        <v>163</v>
      </c>
      <c r="B107" s="9" t="s">
        <v>37</v>
      </c>
      <c r="C107" s="9" t="s">
        <v>20</v>
      </c>
      <c r="D107" s="9">
        <v>22</v>
      </c>
      <c r="E107" s="9" t="s">
        <v>44</v>
      </c>
      <c r="F107" s="9" t="s">
        <v>45</v>
      </c>
      <c r="G107" s="9" t="s">
        <v>23</v>
      </c>
      <c r="H107" s="9" t="s">
        <v>57</v>
      </c>
      <c r="I107" s="10">
        <v>46052</v>
      </c>
      <c r="J107" s="10">
        <v>46057</v>
      </c>
      <c r="K107" s="10"/>
      <c r="L107" s="10"/>
      <c r="M107" s="9" t="s">
        <v>70</v>
      </c>
      <c r="N107" s="19">
        <v>379862</v>
      </c>
      <c r="O107" s="19"/>
      <c r="P107" s="9">
        <v>11</v>
      </c>
      <c r="Q107" s="9" t="s">
        <v>26</v>
      </c>
      <c r="R107" s="13" t="s">
        <v>267</v>
      </c>
    </row>
    <row r="108" spans="1:18" x14ac:dyDescent="0.3">
      <c r="A108" s="16" t="s">
        <v>164</v>
      </c>
      <c r="B108" s="9" t="s">
        <v>99</v>
      </c>
      <c r="C108" s="9" t="s">
        <v>20</v>
      </c>
      <c r="D108" s="9">
        <v>37</v>
      </c>
      <c r="E108" s="9" t="s">
        <v>44</v>
      </c>
      <c r="F108" s="9" t="s">
        <v>45</v>
      </c>
      <c r="G108" s="9" t="s">
        <v>33</v>
      </c>
      <c r="H108" s="9" t="s">
        <v>54</v>
      </c>
      <c r="I108" s="10">
        <v>46197</v>
      </c>
      <c r="J108" s="10">
        <v>46203</v>
      </c>
      <c r="K108" s="10"/>
      <c r="L108" s="10"/>
      <c r="M108" s="9" t="s">
        <v>70</v>
      </c>
      <c r="N108" s="19">
        <v>776099</v>
      </c>
      <c r="O108" s="19"/>
      <c r="P108" s="9">
        <v>1</v>
      </c>
      <c r="Q108" s="9" t="s">
        <v>26</v>
      </c>
      <c r="R108" s="13" t="s">
        <v>267</v>
      </c>
    </row>
    <row r="109" spans="1:18" x14ac:dyDescent="0.3">
      <c r="A109" s="16" t="s">
        <v>165</v>
      </c>
      <c r="B109" s="9" t="s">
        <v>99</v>
      </c>
      <c r="C109" s="9" t="s">
        <v>38</v>
      </c>
      <c r="D109" s="9">
        <v>23</v>
      </c>
      <c r="E109" s="9" t="s">
        <v>53</v>
      </c>
      <c r="F109" s="9" t="s">
        <v>50</v>
      </c>
      <c r="G109" s="9" t="s">
        <v>33</v>
      </c>
      <c r="H109" s="9" t="s">
        <v>57</v>
      </c>
      <c r="I109" s="10">
        <v>46086</v>
      </c>
      <c r="J109" s="10">
        <v>46090</v>
      </c>
      <c r="K109" s="10"/>
      <c r="L109" s="10"/>
      <c r="M109" s="9" t="s">
        <v>60</v>
      </c>
      <c r="N109" s="19">
        <v>828744</v>
      </c>
      <c r="O109" s="19"/>
      <c r="P109" s="9">
        <v>4</v>
      </c>
      <c r="Q109" s="9" t="s">
        <v>46</v>
      </c>
      <c r="R109" s="13" t="s">
        <v>267</v>
      </c>
    </row>
    <row r="110" spans="1:18" x14ac:dyDescent="0.3">
      <c r="A110" s="16" t="s">
        <v>166</v>
      </c>
      <c r="B110" s="9" t="s">
        <v>99</v>
      </c>
      <c r="C110" s="9" t="s">
        <v>20</v>
      </c>
      <c r="D110" s="9">
        <v>39</v>
      </c>
      <c r="E110" s="9" t="s">
        <v>49</v>
      </c>
      <c r="F110" s="9" t="s">
        <v>50</v>
      </c>
      <c r="G110" s="9" t="s">
        <v>33</v>
      </c>
      <c r="H110" s="9" t="s">
        <v>34</v>
      </c>
      <c r="I110" s="10">
        <v>46064</v>
      </c>
      <c r="J110" s="10">
        <v>46067</v>
      </c>
      <c r="K110" s="10"/>
      <c r="L110" s="10"/>
      <c r="M110" s="9" t="s">
        <v>35</v>
      </c>
      <c r="N110" s="19">
        <v>810659</v>
      </c>
      <c r="O110" s="19"/>
      <c r="P110" s="9">
        <v>12</v>
      </c>
      <c r="Q110" s="9" t="s">
        <v>42</v>
      </c>
      <c r="R110" s="13" t="s">
        <v>267</v>
      </c>
    </row>
    <row r="111" spans="1:18" x14ac:dyDescent="0.3">
      <c r="A111" s="16" t="s">
        <v>167</v>
      </c>
      <c r="B111" s="9" t="s">
        <v>85</v>
      </c>
      <c r="C111" s="9" t="s">
        <v>20</v>
      </c>
      <c r="D111" s="9">
        <v>40</v>
      </c>
      <c r="E111" s="9" t="s">
        <v>39</v>
      </c>
      <c r="F111" s="9" t="s">
        <v>40</v>
      </c>
      <c r="G111" s="9" t="s">
        <v>33</v>
      </c>
      <c r="H111" s="9" t="s">
        <v>54</v>
      </c>
      <c r="I111" s="10">
        <v>46092</v>
      </c>
      <c r="J111" s="10">
        <v>46098</v>
      </c>
      <c r="K111" s="10">
        <v>46102</v>
      </c>
      <c r="L111" s="10"/>
      <c r="M111" s="9" t="s">
        <v>79</v>
      </c>
      <c r="N111" s="19">
        <v>643369</v>
      </c>
      <c r="O111" s="19">
        <v>585503</v>
      </c>
      <c r="P111" s="9">
        <v>12</v>
      </c>
      <c r="Q111" s="9" t="s">
        <v>42</v>
      </c>
      <c r="R111" s="13" t="s">
        <v>267</v>
      </c>
    </row>
    <row r="112" spans="1:18" x14ac:dyDescent="0.3">
      <c r="A112" s="16" t="s">
        <v>168</v>
      </c>
      <c r="B112" s="9" t="s">
        <v>28</v>
      </c>
      <c r="C112" s="9" t="s">
        <v>38</v>
      </c>
      <c r="D112" s="9">
        <v>33</v>
      </c>
      <c r="E112" s="9" t="s">
        <v>53</v>
      </c>
      <c r="F112" s="9" t="s">
        <v>50</v>
      </c>
      <c r="G112" s="9" t="s">
        <v>33</v>
      </c>
      <c r="H112" s="9" t="s">
        <v>57</v>
      </c>
      <c r="I112" s="10">
        <v>46172</v>
      </c>
      <c r="J112" s="10">
        <v>46175</v>
      </c>
      <c r="K112" s="10"/>
      <c r="L112" s="10"/>
      <c r="M112" s="9" t="s">
        <v>35</v>
      </c>
      <c r="N112" s="19">
        <v>628606</v>
      </c>
      <c r="O112" s="19"/>
      <c r="P112" s="9">
        <v>2</v>
      </c>
      <c r="Q112" s="9" t="s">
        <v>26</v>
      </c>
      <c r="R112" s="13" t="s">
        <v>267</v>
      </c>
    </row>
    <row r="113" spans="1:18" x14ac:dyDescent="0.3">
      <c r="A113" s="16" t="s">
        <v>169</v>
      </c>
      <c r="B113" s="9" t="s">
        <v>59</v>
      </c>
      <c r="C113" s="9" t="s">
        <v>20</v>
      </c>
      <c r="D113" s="9">
        <v>37</v>
      </c>
      <c r="E113" s="9" t="s">
        <v>39</v>
      </c>
      <c r="F113" s="9" t="s">
        <v>40</v>
      </c>
      <c r="G113" s="9" t="s">
        <v>33</v>
      </c>
      <c r="H113" s="9" t="s">
        <v>57</v>
      </c>
      <c r="I113" s="10">
        <v>46202</v>
      </c>
      <c r="J113" s="10">
        <v>46212</v>
      </c>
      <c r="K113" s="10">
        <v>46218</v>
      </c>
      <c r="L113" s="10"/>
      <c r="M113" s="9" t="s">
        <v>79</v>
      </c>
      <c r="N113" s="19">
        <v>706574</v>
      </c>
      <c r="O113" s="19">
        <v>662769</v>
      </c>
      <c r="P113" s="9">
        <v>3</v>
      </c>
      <c r="Q113" s="9" t="s">
        <v>46</v>
      </c>
      <c r="R113" s="13" t="s">
        <v>267</v>
      </c>
    </row>
    <row r="114" spans="1:18" x14ac:dyDescent="0.3">
      <c r="A114" s="16" t="s">
        <v>170</v>
      </c>
      <c r="B114" s="9" t="s">
        <v>76</v>
      </c>
      <c r="C114" s="9" t="s">
        <v>38</v>
      </c>
      <c r="D114" s="9">
        <v>31</v>
      </c>
      <c r="E114" s="9" t="s">
        <v>21</v>
      </c>
      <c r="F114" s="9" t="s">
        <v>22</v>
      </c>
      <c r="G114" s="9" t="s">
        <v>29</v>
      </c>
      <c r="H114" s="9" t="s">
        <v>34</v>
      </c>
      <c r="I114" s="10">
        <v>46100</v>
      </c>
      <c r="J114" s="10">
        <v>46106</v>
      </c>
      <c r="K114" s="10"/>
      <c r="L114" s="10"/>
      <c r="M114" s="9" t="s">
        <v>70</v>
      </c>
      <c r="N114" s="19">
        <v>585818</v>
      </c>
      <c r="O114" s="19"/>
      <c r="P114" s="9">
        <v>8</v>
      </c>
      <c r="Q114" s="9" t="s">
        <v>46</v>
      </c>
      <c r="R114" s="13" t="s">
        <v>267</v>
      </c>
    </row>
    <row r="115" spans="1:18" x14ac:dyDescent="0.3">
      <c r="A115" s="16" t="s">
        <v>171</v>
      </c>
      <c r="B115" s="9" t="s">
        <v>99</v>
      </c>
      <c r="C115" s="9" t="s">
        <v>20</v>
      </c>
      <c r="D115" s="9">
        <v>35</v>
      </c>
      <c r="E115" s="9" t="s">
        <v>21</v>
      </c>
      <c r="F115" s="9" t="s">
        <v>22</v>
      </c>
      <c r="G115" s="9" t="s">
        <v>56</v>
      </c>
      <c r="H115" s="9" t="s">
        <v>54</v>
      </c>
      <c r="I115" s="10">
        <v>46147</v>
      </c>
      <c r="J115" s="10">
        <v>46157</v>
      </c>
      <c r="K115" s="10"/>
      <c r="L115" s="10"/>
      <c r="M115" s="9" t="s">
        <v>70</v>
      </c>
      <c r="N115" s="19">
        <v>746811</v>
      </c>
      <c r="O115" s="19"/>
      <c r="P115" s="9">
        <v>12</v>
      </c>
      <c r="Q115" s="9" t="s">
        <v>42</v>
      </c>
      <c r="R115" s="13" t="s">
        <v>267</v>
      </c>
    </row>
    <row r="116" spans="1:18" x14ac:dyDescent="0.3">
      <c r="A116" s="16" t="s">
        <v>172</v>
      </c>
      <c r="B116" s="9" t="s">
        <v>32</v>
      </c>
      <c r="C116" s="9" t="s">
        <v>38</v>
      </c>
      <c r="D116" s="9">
        <v>36</v>
      </c>
      <c r="E116" s="9" t="s">
        <v>39</v>
      </c>
      <c r="F116" s="9" t="s">
        <v>40</v>
      </c>
      <c r="G116" s="9" t="s">
        <v>56</v>
      </c>
      <c r="H116" s="9" t="s">
        <v>30</v>
      </c>
      <c r="I116" s="10">
        <v>46135</v>
      </c>
      <c r="J116" s="10">
        <v>46143</v>
      </c>
      <c r="K116" s="10"/>
      <c r="L116" s="10"/>
      <c r="M116" s="9" t="s">
        <v>51</v>
      </c>
      <c r="N116" s="19">
        <v>793135</v>
      </c>
      <c r="O116" s="19"/>
      <c r="P116" s="9">
        <v>9</v>
      </c>
      <c r="Q116" s="9" t="s">
        <v>26</v>
      </c>
      <c r="R116" s="13" t="s">
        <v>267</v>
      </c>
    </row>
    <row r="117" spans="1:18" x14ac:dyDescent="0.3">
      <c r="A117" s="16" t="s">
        <v>173</v>
      </c>
      <c r="B117" s="9" t="s">
        <v>99</v>
      </c>
      <c r="C117" s="9" t="s">
        <v>38</v>
      </c>
      <c r="D117" s="9">
        <v>24</v>
      </c>
      <c r="E117" s="9" t="s">
        <v>21</v>
      </c>
      <c r="F117" s="9" t="s">
        <v>22</v>
      </c>
      <c r="G117" s="9" t="s">
        <v>56</v>
      </c>
      <c r="H117" s="9" t="s">
        <v>34</v>
      </c>
      <c r="I117" s="10">
        <v>46144</v>
      </c>
      <c r="J117" s="10">
        <v>46152</v>
      </c>
      <c r="K117" s="10"/>
      <c r="L117" s="10"/>
      <c r="M117" s="9" t="s">
        <v>35</v>
      </c>
      <c r="N117" s="19">
        <v>809066</v>
      </c>
      <c r="O117" s="19"/>
      <c r="P117" s="9">
        <v>4</v>
      </c>
      <c r="Q117" s="9" t="s">
        <v>46</v>
      </c>
      <c r="R117" s="13" t="s">
        <v>267</v>
      </c>
    </row>
    <row r="118" spans="1:18" x14ac:dyDescent="0.3">
      <c r="A118" s="16" t="s">
        <v>174</v>
      </c>
      <c r="B118" s="9" t="s">
        <v>19</v>
      </c>
      <c r="C118" s="9" t="s">
        <v>20</v>
      </c>
      <c r="D118" s="9">
        <v>35</v>
      </c>
      <c r="E118" s="9" t="s">
        <v>21</v>
      </c>
      <c r="F118" s="9" t="s">
        <v>22</v>
      </c>
      <c r="G118" s="9" t="s">
        <v>23</v>
      </c>
      <c r="H118" s="9" t="s">
        <v>54</v>
      </c>
      <c r="I118" s="10">
        <v>46107</v>
      </c>
      <c r="J118" s="10">
        <v>46109</v>
      </c>
      <c r="K118" s="10"/>
      <c r="L118" s="10"/>
      <c r="M118" s="9" t="s">
        <v>70</v>
      </c>
      <c r="N118" s="19">
        <v>565785</v>
      </c>
      <c r="O118" s="19"/>
      <c r="P118" s="9">
        <v>5</v>
      </c>
      <c r="Q118" s="9" t="s">
        <v>26</v>
      </c>
      <c r="R118" s="13" t="s">
        <v>267</v>
      </c>
    </row>
    <row r="119" spans="1:18" x14ac:dyDescent="0.3">
      <c r="A119" s="16" t="s">
        <v>175</v>
      </c>
      <c r="B119" s="9" t="s">
        <v>59</v>
      </c>
      <c r="C119" s="9" t="s">
        <v>38</v>
      </c>
      <c r="D119" s="9">
        <v>27</v>
      </c>
      <c r="E119" s="9" t="s">
        <v>44</v>
      </c>
      <c r="F119" s="9" t="s">
        <v>45</v>
      </c>
      <c r="G119" s="9" t="s">
        <v>23</v>
      </c>
      <c r="H119" s="9" t="s">
        <v>54</v>
      </c>
      <c r="I119" s="10">
        <v>46179</v>
      </c>
      <c r="J119" s="10">
        <v>46184</v>
      </c>
      <c r="K119" s="10"/>
      <c r="L119" s="10"/>
      <c r="M119" s="9" t="s">
        <v>51</v>
      </c>
      <c r="N119" s="19">
        <v>812537</v>
      </c>
      <c r="O119" s="19"/>
      <c r="P119" s="9">
        <v>1</v>
      </c>
      <c r="Q119" s="9" t="s">
        <v>26</v>
      </c>
      <c r="R119" s="13" t="s">
        <v>267</v>
      </c>
    </row>
    <row r="120" spans="1:18" x14ac:dyDescent="0.3">
      <c r="A120" s="16" t="s">
        <v>176</v>
      </c>
      <c r="B120" s="9" t="s">
        <v>99</v>
      </c>
      <c r="C120" s="9" t="s">
        <v>38</v>
      </c>
      <c r="D120" s="9">
        <v>40</v>
      </c>
      <c r="E120" s="9" t="s">
        <v>49</v>
      </c>
      <c r="F120" s="9" t="s">
        <v>50</v>
      </c>
      <c r="G120" s="9" t="s">
        <v>29</v>
      </c>
      <c r="H120" s="9" t="s">
        <v>24</v>
      </c>
      <c r="I120" s="10">
        <v>46191</v>
      </c>
      <c r="J120" s="10">
        <v>46201</v>
      </c>
      <c r="K120" s="10"/>
      <c r="L120" s="10"/>
      <c r="M120" s="9" t="s">
        <v>60</v>
      </c>
      <c r="N120" s="19">
        <v>660597</v>
      </c>
      <c r="O120" s="19"/>
      <c r="P120" s="9">
        <v>10</v>
      </c>
      <c r="Q120" s="9" t="s">
        <v>26</v>
      </c>
      <c r="R120" s="13" t="s">
        <v>267</v>
      </c>
    </row>
    <row r="121" spans="1:18" x14ac:dyDescent="0.3">
      <c r="A121" s="16" t="s">
        <v>177</v>
      </c>
      <c r="B121" s="9" t="s">
        <v>59</v>
      </c>
      <c r="C121" s="9" t="s">
        <v>38</v>
      </c>
      <c r="D121" s="9">
        <v>33</v>
      </c>
      <c r="E121" s="9" t="s">
        <v>53</v>
      </c>
      <c r="F121" s="9" t="s">
        <v>50</v>
      </c>
      <c r="G121" s="9" t="s">
        <v>29</v>
      </c>
      <c r="H121" s="9" t="s">
        <v>54</v>
      </c>
      <c r="I121" s="10">
        <v>46066</v>
      </c>
      <c r="J121" s="10">
        <v>46070</v>
      </c>
      <c r="K121" s="10"/>
      <c r="L121" s="10"/>
      <c r="M121" s="9" t="s">
        <v>51</v>
      </c>
      <c r="N121" s="19">
        <v>754015</v>
      </c>
      <c r="O121" s="19"/>
      <c r="P121" s="9">
        <v>9</v>
      </c>
      <c r="Q121" s="9" t="s">
        <v>42</v>
      </c>
      <c r="R121" s="13" t="s">
        <v>267</v>
      </c>
    </row>
    <row r="122" spans="1:18" x14ac:dyDescent="0.3">
      <c r="A122" s="16" t="s">
        <v>178</v>
      </c>
      <c r="B122" s="9" t="s">
        <v>48</v>
      </c>
      <c r="C122" s="9" t="s">
        <v>38</v>
      </c>
      <c r="D122" s="9">
        <v>38</v>
      </c>
      <c r="E122" s="9" t="s">
        <v>44</v>
      </c>
      <c r="F122" s="9" t="s">
        <v>45</v>
      </c>
      <c r="G122" s="9" t="s">
        <v>23</v>
      </c>
      <c r="H122" s="9" t="s">
        <v>54</v>
      </c>
      <c r="I122" s="10">
        <v>46103</v>
      </c>
      <c r="J122" s="10">
        <v>46111</v>
      </c>
      <c r="K122" s="10"/>
      <c r="L122" s="10"/>
      <c r="M122" s="9" t="s">
        <v>70</v>
      </c>
      <c r="N122" s="19">
        <v>330814</v>
      </c>
      <c r="O122" s="19"/>
      <c r="P122" s="9">
        <v>5</v>
      </c>
      <c r="Q122" s="9" t="s">
        <v>46</v>
      </c>
      <c r="R122" s="13" t="s">
        <v>267</v>
      </c>
    </row>
    <row r="123" spans="1:18" x14ac:dyDescent="0.3">
      <c r="A123" s="16" t="s">
        <v>179</v>
      </c>
      <c r="B123" s="9" t="s">
        <v>85</v>
      </c>
      <c r="C123" s="9" t="s">
        <v>20</v>
      </c>
      <c r="D123" s="9">
        <v>40</v>
      </c>
      <c r="E123" s="9" t="s">
        <v>44</v>
      </c>
      <c r="F123" s="9" t="s">
        <v>45</v>
      </c>
      <c r="G123" s="9" t="s">
        <v>29</v>
      </c>
      <c r="H123" s="9" t="s">
        <v>54</v>
      </c>
      <c r="I123" s="10">
        <v>46029</v>
      </c>
      <c r="J123" s="10">
        <v>46037</v>
      </c>
      <c r="K123" s="10"/>
      <c r="L123" s="10"/>
      <c r="M123" s="9" t="s">
        <v>35</v>
      </c>
      <c r="N123" s="19">
        <v>479816</v>
      </c>
      <c r="O123" s="19"/>
      <c r="P123" s="9">
        <v>9</v>
      </c>
      <c r="Q123" s="9" t="s">
        <v>46</v>
      </c>
      <c r="R123" s="13" t="s">
        <v>267</v>
      </c>
    </row>
    <row r="124" spans="1:18" x14ac:dyDescent="0.3">
      <c r="A124" s="16" t="s">
        <v>180</v>
      </c>
      <c r="B124" s="9" t="s">
        <v>78</v>
      </c>
      <c r="C124" s="9" t="s">
        <v>38</v>
      </c>
      <c r="D124" s="9">
        <v>26</v>
      </c>
      <c r="E124" s="9" t="s">
        <v>21</v>
      </c>
      <c r="F124" s="9" t="s">
        <v>22</v>
      </c>
      <c r="G124" s="9" t="s">
        <v>56</v>
      </c>
      <c r="H124" s="9" t="s">
        <v>54</v>
      </c>
      <c r="I124" s="10">
        <v>46096</v>
      </c>
      <c r="J124" s="10">
        <v>46101</v>
      </c>
      <c r="K124" s="10">
        <v>46104</v>
      </c>
      <c r="L124" s="10"/>
      <c r="M124" s="9" t="s">
        <v>79</v>
      </c>
      <c r="N124" s="19">
        <v>831581</v>
      </c>
      <c r="O124" s="19">
        <v>800292</v>
      </c>
      <c r="P124" s="9">
        <v>9</v>
      </c>
      <c r="Q124" s="9" t="s">
        <v>46</v>
      </c>
      <c r="R124" s="13" t="s">
        <v>267</v>
      </c>
    </row>
    <row r="125" spans="1:18" x14ac:dyDescent="0.3">
      <c r="A125" s="16" t="s">
        <v>181</v>
      </c>
      <c r="B125" s="9" t="s">
        <v>76</v>
      </c>
      <c r="C125" s="9" t="s">
        <v>20</v>
      </c>
      <c r="D125" s="9">
        <v>34</v>
      </c>
      <c r="E125" s="9" t="s">
        <v>21</v>
      </c>
      <c r="F125" s="9" t="s">
        <v>22</v>
      </c>
      <c r="G125" s="9" t="s">
        <v>33</v>
      </c>
      <c r="H125" s="9" t="s">
        <v>57</v>
      </c>
      <c r="I125" s="10">
        <v>46184</v>
      </c>
      <c r="J125" s="10">
        <v>46189</v>
      </c>
      <c r="K125" s="10">
        <v>46194</v>
      </c>
      <c r="L125" s="10"/>
      <c r="M125" s="9" t="s">
        <v>79</v>
      </c>
      <c r="N125" s="19">
        <v>378695</v>
      </c>
      <c r="O125" s="19">
        <v>938252</v>
      </c>
      <c r="P125" s="9">
        <v>11</v>
      </c>
      <c r="Q125" s="9" t="s">
        <v>46</v>
      </c>
      <c r="R125" s="13" t="s">
        <v>267</v>
      </c>
    </row>
    <row r="126" spans="1:18" x14ac:dyDescent="0.3">
      <c r="A126" s="16" t="s">
        <v>182</v>
      </c>
      <c r="B126" s="9" t="s">
        <v>59</v>
      </c>
      <c r="C126" s="9" t="s">
        <v>20</v>
      </c>
      <c r="D126" s="9">
        <v>25</v>
      </c>
      <c r="E126" s="9" t="s">
        <v>39</v>
      </c>
      <c r="F126" s="9" t="s">
        <v>40</v>
      </c>
      <c r="G126" s="9" t="s">
        <v>29</v>
      </c>
      <c r="H126" s="9" t="s">
        <v>57</v>
      </c>
      <c r="I126" s="10">
        <v>46023</v>
      </c>
      <c r="J126" s="10">
        <v>46033</v>
      </c>
      <c r="K126" s="10"/>
      <c r="L126" s="10"/>
      <c r="M126" s="9" t="s">
        <v>51</v>
      </c>
      <c r="N126" s="19">
        <v>762885</v>
      </c>
      <c r="O126" s="19"/>
      <c r="P126" s="9">
        <v>7</v>
      </c>
      <c r="Q126" s="9" t="s">
        <v>26</v>
      </c>
      <c r="R126" s="13" t="s">
        <v>267</v>
      </c>
    </row>
    <row r="127" spans="1:18" x14ac:dyDescent="0.3">
      <c r="A127" s="16" t="s">
        <v>183</v>
      </c>
      <c r="B127" s="9" t="s">
        <v>99</v>
      </c>
      <c r="C127" s="9" t="s">
        <v>20</v>
      </c>
      <c r="D127" s="9">
        <v>28</v>
      </c>
      <c r="E127" s="9" t="s">
        <v>21</v>
      </c>
      <c r="F127" s="9" t="s">
        <v>22</v>
      </c>
      <c r="G127" s="9" t="s">
        <v>29</v>
      </c>
      <c r="H127" s="9" t="s">
        <v>34</v>
      </c>
      <c r="I127" s="10">
        <v>46111</v>
      </c>
      <c r="J127" s="10">
        <v>46117</v>
      </c>
      <c r="K127" s="10">
        <v>46121</v>
      </c>
      <c r="L127" s="10"/>
      <c r="M127" s="9" t="s">
        <v>79</v>
      </c>
      <c r="N127" s="19">
        <v>712207</v>
      </c>
      <c r="O127" s="19">
        <v>439441</v>
      </c>
      <c r="P127" s="9">
        <v>7</v>
      </c>
      <c r="Q127" s="9" t="s">
        <v>26</v>
      </c>
      <c r="R127" s="13" t="s">
        <v>267</v>
      </c>
    </row>
    <row r="128" spans="1:18" x14ac:dyDescent="0.3">
      <c r="A128" s="16" t="s">
        <v>184</v>
      </c>
      <c r="B128" s="9" t="s">
        <v>99</v>
      </c>
      <c r="C128" s="9" t="s">
        <v>20</v>
      </c>
      <c r="D128" s="9">
        <v>28</v>
      </c>
      <c r="E128" s="9" t="s">
        <v>21</v>
      </c>
      <c r="F128" s="9" t="s">
        <v>22</v>
      </c>
      <c r="G128" s="9" t="s">
        <v>29</v>
      </c>
      <c r="H128" s="9" t="s">
        <v>24</v>
      </c>
      <c r="I128" s="10">
        <v>46183</v>
      </c>
      <c r="J128" s="10">
        <v>46191</v>
      </c>
      <c r="K128" s="10">
        <v>46198</v>
      </c>
      <c r="L128" s="10"/>
      <c r="M128" s="9" t="s">
        <v>79</v>
      </c>
      <c r="N128" s="19">
        <v>325681</v>
      </c>
      <c r="O128" s="19">
        <v>584907</v>
      </c>
      <c r="P128" s="9">
        <v>10</v>
      </c>
      <c r="Q128" s="9" t="s">
        <v>42</v>
      </c>
      <c r="R128" s="13" t="s">
        <v>267</v>
      </c>
    </row>
    <row r="129" spans="1:18" x14ac:dyDescent="0.3">
      <c r="A129" s="16" t="s">
        <v>185</v>
      </c>
      <c r="B129" s="9" t="s">
        <v>78</v>
      </c>
      <c r="C129" s="9" t="s">
        <v>20</v>
      </c>
      <c r="D129" s="9">
        <v>30</v>
      </c>
      <c r="E129" s="9" t="s">
        <v>53</v>
      </c>
      <c r="F129" s="9" t="s">
        <v>50</v>
      </c>
      <c r="G129" s="9" t="s">
        <v>29</v>
      </c>
      <c r="H129" s="9" t="s">
        <v>30</v>
      </c>
      <c r="I129" s="10">
        <v>46024</v>
      </c>
      <c r="J129" s="10">
        <v>46034</v>
      </c>
      <c r="K129" s="10"/>
      <c r="L129" s="10"/>
      <c r="M129" s="9" t="s">
        <v>25</v>
      </c>
      <c r="N129" s="19">
        <v>300057</v>
      </c>
      <c r="O129" s="19"/>
      <c r="P129" s="9">
        <v>4</v>
      </c>
      <c r="Q129" s="9" t="s">
        <v>46</v>
      </c>
      <c r="R129" s="13" t="s">
        <v>267</v>
      </c>
    </row>
    <row r="130" spans="1:18" x14ac:dyDescent="0.3">
      <c r="A130" s="16" t="s">
        <v>186</v>
      </c>
      <c r="B130" s="9" t="s">
        <v>78</v>
      </c>
      <c r="C130" s="9" t="s">
        <v>20</v>
      </c>
      <c r="D130" s="9">
        <v>36</v>
      </c>
      <c r="E130" s="9" t="s">
        <v>39</v>
      </c>
      <c r="F130" s="9" t="s">
        <v>40</v>
      </c>
      <c r="G130" s="9" t="s">
        <v>29</v>
      </c>
      <c r="H130" s="9" t="s">
        <v>30</v>
      </c>
      <c r="I130" s="10">
        <v>46031</v>
      </c>
      <c r="J130" s="10">
        <v>46037</v>
      </c>
      <c r="K130" s="10">
        <v>46042</v>
      </c>
      <c r="L130" s="10"/>
      <c r="M130" s="9" t="s">
        <v>79</v>
      </c>
      <c r="N130" s="19">
        <v>623212</v>
      </c>
      <c r="O130" s="19">
        <v>703067</v>
      </c>
      <c r="P130" s="9">
        <v>1</v>
      </c>
      <c r="Q130" s="9" t="s">
        <v>26</v>
      </c>
      <c r="R130" s="13" t="s">
        <v>267</v>
      </c>
    </row>
    <row r="131" spans="1:18" x14ac:dyDescent="0.3">
      <c r="A131" s="16" t="s">
        <v>187</v>
      </c>
      <c r="B131" s="9" t="s">
        <v>78</v>
      </c>
      <c r="C131" s="9" t="s">
        <v>20</v>
      </c>
      <c r="D131" s="9">
        <v>35</v>
      </c>
      <c r="E131" s="9" t="s">
        <v>39</v>
      </c>
      <c r="F131" s="9" t="s">
        <v>40</v>
      </c>
      <c r="G131" s="9" t="s">
        <v>33</v>
      </c>
      <c r="H131" s="9" t="s">
        <v>57</v>
      </c>
      <c r="I131" s="10">
        <v>46054</v>
      </c>
      <c r="J131" s="10">
        <v>46059</v>
      </c>
      <c r="K131" s="10"/>
      <c r="L131" s="10"/>
      <c r="M131" s="9" t="s">
        <v>70</v>
      </c>
      <c r="N131" s="19">
        <v>561541</v>
      </c>
      <c r="O131" s="19"/>
      <c r="P131" s="9">
        <v>7</v>
      </c>
      <c r="Q131" s="9" t="s">
        <v>26</v>
      </c>
      <c r="R131" s="13" t="s">
        <v>267</v>
      </c>
    </row>
    <row r="132" spans="1:18" x14ac:dyDescent="0.3">
      <c r="A132" s="16" t="s">
        <v>188</v>
      </c>
      <c r="B132" s="9" t="s">
        <v>32</v>
      </c>
      <c r="C132" s="9" t="s">
        <v>38</v>
      </c>
      <c r="D132" s="9">
        <v>34</v>
      </c>
      <c r="E132" s="9" t="s">
        <v>53</v>
      </c>
      <c r="F132" s="9" t="s">
        <v>50</v>
      </c>
      <c r="G132" s="9" t="s">
        <v>23</v>
      </c>
      <c r="H132" s="9" t="s">
        <v>30</v>
      </c>
      <c r="I132" s="10">
        <v>46043</v>
      </c>
      <c r="J132" s="10">
        <v>46050</v>
      </c>
      <c r="K132" s="10"/>
      <c r="L132" s="10"/>
      <c r="M132" s="9" t="s">
        <v>25</v>
      </c>
      <c r="N132" s="19">
        <v>800757</v>
      </c>
      <c r="O132" s="19"/>
      <c r="P132" s="9">
        <v>12</v>
      </c>
      <c r="Q132" s="9" t="s">
        <v>46</v>
      </c>
      <c r="R132" s="13" t="s">
        <v>267</v>
      </c>
    </row>
    <row r="133" spans="1:18" x14ac:dyDescent="0.3">
      <c r="A133" s="16" t="s">
        <v>189</v>
      </c>
      <c r="B133" s="9" t="s">
        <v>19</v>
      </c>
      <c r="C133" s="9" t="s">
        <v>20</v>
      </c>
      <c r="D133" s="9">
        <v>27</v>
      </c>
      <c r="E133" s="9" t="s">
        <v>39</v>
      </c>
      <c r="F133" s="9" t="s">
        <v>40</v>
      </c>
      <c r="G133" s="9" t="s">
        <v>29</v>
      </c>
      <c r="H133" s="9" t="s">
        <v>34</v>
      </c>
      <c r="I133" s="10">
        <v>46159</v>
      </c>
      <c r="J133" s="10">
        <v>46166</v>
      </c>
      <c r="K133" s="10"/>
      <c r="L133" s="10"/>
      <c r="M133" s="9" t="s">
        <v>25</v>
      </c>
      <c r="N133" s="19">
        <v>838136</v>
      </c>
      <c r="O133" s="19"/>
      <c r="P133" s="9">
        <v>11</v>
      </c>
      <c r="Q133" s="9" t="s">
        <v>26</v>
      </c>
      <c r="R133" s="13" t="s">
        <v>267</v>
      </c>
    </row>
    <row r="134" spans="1:18" x14ac:dyDescent="0.3">
      <c r="A134" s="16" t="s">
        <v>190</v>
      </c>
      <c r="B134" s="9" t="s">
        <v>85</v>
      </c>
      <c r="C134" s="9" t="s">
        <v>38</v>
      </c>
      <c r="D134" s="9">
        <v>27</v>
      </c>
      <c r="E134" s="9" t="s">
        <v>21</v>
      </c>
      <c r="F134" s="9" t="s">
        <v>22</v>
      </c>
      <c r="G134" s="9" t="s">
        <v>29</v>
      </c>
      <c r="H134" s="9" t="s">
        <v>24</v>
      </c>
      <c r="I134" s="10">
        <v>46027</v>
      </c>
      <c r="J134" s="10">
        <v>46035</v>
      </c>
      <c r="K134" s="10">
        <v>46040</v>
      </c>
      <c r="L134" s="10">
        <v>46055</v>
      </c>
      <c r="M134" s="9" t="s">
        <v>41</v>
      </c>
      <c r="N134" s="19">
        <v>450079</v>
      </c>
      <c r="O134" s="19">
        <v>356890</v>
      </c>
      <c r="P134" s="9">
        <v>11</v>
      </c>
      <c r="Q134" s="9" t="s">
        <v>42</v>
      </c>
      <c r="R134" s="13">
        <v>28</v>
      </c>
    </row>
    <row r="135" spans="1:18" x14ac:dyDescent="0.3">
      <c r="A135" s="16" t="s">
        <v>191</v>
      </c>
      <c r="B135" s="9" t="s">
        <v>19</v>
      </c>
      <c r="C135" s="9" t="s">
        <v>38</v>
      </c>
      <c r="D135" s="9">
        <v>25</v>
      </c>
      <c r="E135" s="9" t="s">
        <v>21</v>
      </c>
      <c r="F135" s="9" t="s">
        <v>22</v>
      </c>
      <c r="G135" s="9" t="s">
        <v>23</v>
      </c>
      <c r="H135" s="9" t="s">
        <v>24</v>
      </c>
      <c r="I135" s="10">
        <v>46198</v>
      </c>
      <c r="J135" s="10">
        <v>46204</v>
      </c>
      <c r="K135" s="10"/>
      <c r="L135" s="10"/>
      <c r="M135" s="9" t="s">
        <v>70</v>
      </c>
      <c r="N135" s="19">
        <v>306894</v>
      </c>
      <c r="O135" s="19"/>
      <c r="P135" s="9">
        <v>7</v>
      </c>
      <c r="Q135" s="9" t="s">
        <v>26</v>
      </c>
      <c r="R135" s="13" t="s">
        <v>267</v>
      </c>
    </row>
    <row r="136" spans="1:18" x14ac:dyDescent="0.3">
      <c r="A136" s="16" t="s">
        <v>192</v>
      </c>
      <c r="B136" s="9" t="s">
        <v>76</v>
      </c>
      <c r="C136" s="9" t="s">
        <v>20</v>
      </c>
      <c r="D136" s="9">
        <v>30</v>
      </c>
      <c r="E136" s="9" t="s">
        <v>53</v>
      </c>
      <c r="F136" s="9" t="s">
        <v>50</v>
      </c>
      <c r="G136" s="9" t="s">
        <v>33</v>
      </c>
      <c r="H136" s="9" t="s">
        <v>24</v>
      </c>
      <c r="I136" s="10">
        <v>46132</v>
      </c>
      <c r="J136" s="10">
        <v>46135</v>
      </c>
      <c r="K136" s="10"/>
      <c r="L136" s="10"/>
      <c r="M136" s="9" t="s">
        <v>25</v>
      </c>
      <c r="N136" s="19">
        <v>797743</v>
      </c>
      <c r="O136" s="19"/>
      <c r="P136" s="9">
        <v>9</v>
      </c>
      <c r="Q136" s="9" t="s">
        <v>26</v>
      </c>
      <c r="R136" s="13" t="s">
        <v>267</v>
      </c>
    </row>
    <row r="137" spans="1:18" x14ac:dyDescent="0.3">
      <c r="A137" s="16" t="s">
        <v>193</v>
      </c>
      <c r="B137" s="9" t="s">
        <v>28</v>
      </c>
      <c r="C137" s="9" t="s">
        <v>20</v>
      </c>
      <c r="D137" s="9">
        <v>24</v>
      </c>
      <c r="E137" s="9" t="s">
        <v>49</v>
      </c>
      <c r="F137" s="9" t="s">
        <v>50</v>
      </c>
      <c r="G137" s="9" t="s">
        <v>33</v>
      </c>
      <c r="H137" s="9" t="s">
        <v>30</v>
      </c>
      <c r="I137" s="10">
        <v>46091</v>
      </c>
      <c r="J137" s="10">
        <v>46100</v>
      </c>
      <c r="K137" s="10">
        <v>46105</v>
      </c>
      <c r="L137" s="10"/>
      <c r="M137" s="9" t="s">
        <v>79</v>
      </c>
      <c r="N137" s="19">
        <v>763315</v>
      </c>
      <c r="O137" s="19">
        <v>687558</v>
      </c>
      <c r="P137" s="9">
        <v>4</v>
      </c>
      <c r="Q137" s="9" t="s">
        <v>46</v>
      </c>
      <c r="R137" s="13" t="s">
        <v>267</v>
      </c>
    </row>
    <row r="138" spans="1:18" x14ac:dyDescent="0.3">
      <c r="A138" s="16" t="s">
        <v>194</v>
      </c>
      <c r="B138" s="9" t="s">
        <v>85</v>
      </c>
      <c r="C138" s="9" t="s">
        <v>20</v>
      </c>
      <c r="D138" s="9">
        <v>25</v>
      </c>
      <c r="E138" s="9" t="s">
        <v>39</v>
      </c>
      <c r="F138" s="9" t="s">
        <v>40</v>
      </c>
      <c r="G138" s="9" t="s">
        <v>56</v>
      </c>
      <c r="H138" s="9" t="s">
        <v>24</v>
      </c>
      <c r="I138" s="10">
        <v>46024</v>
      </c>
      <c r="J138" s="10">
        <v>46031</v>
      </c>
      <c r="K138" s="10"/>
      <c r="L138" s="10"/>
      <c r="M138" s="9" t="s">
        <v>60</v>
      </c>
      <c r="N138" s="19">
        <v>800513</v>
      </c>
      <c r="O138" s="19"/>
      <c r="P138" s="9">
        <v>11</v>
      </c>
      <c r="Q138" s="9" t="s">
        <v>42</v>
      </c>
      <c r="R138" s="13" t="s">
        <v>267</v>
      </c>
    </row>
    <row r="139" spans="1:18" x14ac:dyDescent="0.3">
      <c r="A139" s="16" t="s">
        <v>195</v>
      </c>
      <c r="B139" s="9" t="s">
        <v>78</v>
      </c>
      <c r="C139" s="9" t="s">
        <v>20</v>
      </c>
      <c r="D139" s="9">
        <v>23</v>
      </c>
      <c r="E139" s="9" t="s">
        <v>39</v>
      </c>
      <c r="F139" s="9" t="s">
        <v>40</v>
      </c>
      <c r="G139" s="9" t="s">
        <v>56</v>
      </c>
      <c r="H139" s="9" t="s">
        <v>30</v>
      </c>
      <c r="I139" s="10">
        <v>46070</v>
      </c>
      <c r="J139" s="10">
        <v>46072</v>
      </c>
      <c r="K139" s="10">
        <v>46079</v>
      </c>
      <c r="L139" s="10">
        <v>46087</v>
      </c>
      <c r="M139" s="9" t="s">
        <v>41</v>
      </c>
      <c r="N139" s="19">
        <v>694536</v>
      </c>
      <c r="O139" s="19">
        <v>442282</v>
      </c>
      <c r="P139" s="9">
        <v>11</v>
      </c>
      <c r="Q139" s="9" t="s">
        <v>46</v>
      </c>
      <c r="R139" s="13">
        <v>17</v>
      </c>
    </row>
    <row r="140" spans="1:18" x14ac:dyDescent="0.3">
      <c r="A140" s="16" t="s">
        <v>196</v>
      </c>
      <c r="B140" s="9" t="s">
        <v>19</v>
      </c>
      <c r="C140" s="9" t="s">
        <v>38</v>
      </c>
      <c r="D140" s="9">
        <v>22</v>
      </c>
      <c r="E140" s="9" t="s">
        <v>21</v>
      </c>
      <c r="F140" s="9" t="s">
        <v>22</v>
      </c>
      <c r="G140" s="9" t="s">
        <v>33</v>
      </c>
      <c r="H140" s="9" t="s">
        <v>57</v>
      </c>
      <c r="I140" s="10">
        <v>46106</v>
      </c>
      <c r="J140" s="10">
        <v>46109</v>
      </c>
      <c r="K140" s="10">
        <v>46116</v>
      </c>
      <c r="L140" s="10">
        <v>46126</v>
      </c>
      <c r="M140" s="9" t="s">
        <v>41</v>
      </c>
      <c r="N140" s="19">
        <v>560215</v>
      </c>
      <c r="O140" s="19">
        <v>481479</v>
      </c>
      <c r="P140" s="9">
        <v>4</v>
      </c>
      <c r="Q140" s="9" t="s">
        <v>42</v>
      </c>
      <c r="R140" s="13">
        <v>20</v>
      </c>
    </row>
    <row r="141" spans="1:18" x14ac:dyDescent="0.3">
      <c r="A141" s="16" t="s">
        <v>197</v>
      </c>
      <c r="B141" s="9" t="s">
        <v>85</v>
      </c>
      <c r="C141" s="9" t="s">
        <v>38</v>
      </c>
      <c r="D141" s="9">
        <v>37</v>
      </c>
      <c r="E141" s="9" t="s">
        <v>44</v>
      </c>
      <c r="F141" s="9" t="s">
        <v>45</v>
      </c>
      <c r="G141" s="9" t="s">
        <v>56</v>
      </c>
      <c r="H141" s="9" t="s">
        <v>34</v>
      </c>
      <c r="I141" s="10">
        <v>46192</v>
      </c>
      <c r="J141" s="10">
        <v>46197</v>
      </c>
      <c r="K141" s="10"/>
      <c r="L141" s="10"/>
      <c r="M141" s="9" t="s">
        <v>70</v>
      </c>
      <c r="N141" s="19">
        <v>829750</v>
      </c>
      <c r="O141" s="19"/>
      <c r="P141" s="9">
        <v>10</v>
      </c>
      <c r="Q141" s="9" t="s">
        <v>26</v>
      </c>
      <c r="R141" s="13" t="s">
        <v>267</v>
      </c>
    </row>
    <row r="142" spans="1:18" x14ac:dyDescent="0.3">
      <c r="A142" s="16" t="s">
        <v>198</v>
      </c>
      <c r="B142" s="9" t="s">
        <v>85</v>
      </c>
      <c r="C142" s="9" t="s">
        <v>38</v>
      </c>
      <c r="D142" s="9">
        <v>31</v>
      </c>
      <c r="E142" s="9" t="s">
        <v>21</v>
      </c>
      <c r="F142" s="9" t="s">
        <v>22</v>
      </c>
      <c r="G142" s="9" t="s">
        <v>29</v>
      </c>
      <c r="H142" s="9" t="s">
        <v>24</v>
      </c>
      <c r="I142" s="10">
        <v>46067</v>
      </c>
      <c r="J142" s="10">
        <v>46070</v>
      </c>
      <c r="K142" s="10"/>
      <c r="L142" s="10"/>
      <c r="M142" s="9" t="s">
        <v>51</v>
      </c>
      <c r="N142" s="19">
        <v>350313</v>
      </c>
      <c r="O142" s="19"/>
      <c r="P142" s="9">
        <v>1</v>
      </c>
      <c r="Q142" s="9" t="s">
        <v>46</v>
      </c>
      <c r="R142" s="13" t="s">
        <v>267</v>
      </c>
    </row>
    <row r="143" spans="1:18" x14ac:dyDescent="0.3">
      <c r="A143" s="16" t="s">
        <v>199</v>
      </c>
      <c r="B143" s="9" t="s">
        <v>85</v>
      </c>
      <c r="C143" s="9" t="s">
        <v>38</v>
      </c>
      <c r="D143" s="9">
        <v>29</v>
      </c>
      <c r="E143" s="9" t="s">
        <v>44</v>
      </c>
      <c r="F143" s="9" t="s">
        <v>45</v>
      </c>
      <c r="G143" s="9" t="s">
        <v>33</v>
      </c>
      <c r="H143" s="9" t="s">
        <v>24</v>
      </c>
      <c r="I143" s="10">
        <v>46170</v>
      </c>
      <c r="J143" s="10">
        <v>46177</v>
      </c>
      <c r="K143" s="10"/>
      <c r="L143" s="10"/>
      <c r="M143" s="9" t="s">
        <v>70</v>
      </c>
      <c r="N143" s="19">
        <v>720736</v>
      </c>
      <c r="O143" s="19"/>
      <c r="P143" s="9">
        <v>2</v>
      </c>
      <c r="Q143" s="9" t="s">
        <v>42</v>
      </c>
      <c r="R143" s="13" t="s">
        <v>267</v>
      </c>
    </row>
    <row r="144" spans="1:18" x14ac:dyDescent="0.3">
      <c r="A144" s="16" t="s">
        <v>200</v>
      </c>
      <c r="B144" s="9" t="s">
        <v>48</v>
      </c>
      <c r="C144" s="9" t="s">
        <v>38</v>
      </c>
      <c r="D144" s="9">
        <v>25</v>
      </c>
      <c r="E144" s="9" t="s">
        <v>21</v>
      </c>
      <c r="F144" s="9" t="s">
        <v>22</v>
      </c>
      <c r="G144" s="9" t="s">
        <v>29</v>
      </c>
      <c r="H144" s="9" t="s">
        <v>30</v>
      </c>
      <c r="I144" s="10">
        <v>46050</v>
      </c>
      <c r="J144" s="10">
        <v>46053</v>
      </c>
      <c r="K144" s="10">
        <v>46059</v>
      </c>
      <c r="L144" s="10"/>
      <c r="M144" s="9" t="s">
        <v>79</v>
      </c>
      <c r="N144" s="19">
        <v>802022</v>
      </c>
      <c r="O144" s="19">
        <v>492833</v>
      </c>
      <c r="P144" s="9">
        <v>10</v>
      </c>
      <c r="Q144" s="9" t="s">
        <v>26</v>
      </c>
      <c r="R144" s="13" t="s">
        <v>267</v>
      </c>
    </row>
    <row r="145" spans="1:18" x14ac:dyDescent="0.3">
      <c r="A145" s="16" t="s">
        <v>201</v>
      </c>
      <c r="B145" s="9" t="s">
        <v>19</v>
      </c>
      <c r="C145" s="9" t="s">
        <v>20</v>
      </c>
      <c r="D145" s="9">
        <v>28</v>
      </c>
      <c r="E145" s="9" t="s">
        <v>44</v>
      </c>
      <c r="F145" s="9" t="s">
        <v>45</v>
      </c>
      <c r="G145" s="9" t="s">
        <v>23</v>
      </c>
      <c r="H145" s="9" t="s">
        <v>30</v>
      </c>
      <c r="I145" s="10">
        <v>46137</v>
      </c>
      <c r="J145" s="10">
        <v>46147</v>
      </c>
      <c r="K145" s="10"/>
      <c r="L145" s="10"/>
      <c r="M145" s="9" t="s">
        <v>70</v>
      </c>
      <c r="N145" s="19">
        <v>661428</v>
      </c>
      <c r="O145" s="19"/>
      <c r="P145" s="9">
        <v>5</v>
      </c>
      <c r="Q145" s="9" t="s">
        <v>46</v>
      </c>
      <c r="R145" s="13" t="s">
        <v>267</v>
      </c>
    </row>
    <row r="146" spans="1:18" x14ac:dyDescent="0.3">
      <c r="A146" s="16" t="s">
        <v>202</v>
      </c>
      <c r="B146" s="9" t="s">
        <v>59</v>
      </c>
      <c r="C146" s="9" t="s">
        <v>38</v>
      </c>
      <c r="D146" s="9">
        <v>33</v>
      </c>
      <c r="E146" s="9" t="s">
        <v>53</v>
      </c>
      <c r="F146" s="9" t="s">
        <v>50</v>
      </c>
      <c r="G146" s="9" t="s">
        <v>29</v>
      </c>
      <c r="H146" s="9" t="s">
        <v>34</v>
      </c>
      <c r="I146" s="10">
        <v>46086</v>
      </c>
      <c r="J146" s="10">
        <v>46088</v>
      </c>
      <c r="K146" s="10">
        <v>46090</v>
      </c>
      <c r="L146" s="10"/>
      <c r="M146" s="9" t="s">
        <v>79</v>
      </c>
      <c r="N146" s="19">
        <v>745025</v>
      </c>
      <c r="O146" s="19">
        <v>343235</v>
      </c>
      <c r="P146" s="9">
        <v>12</v>
      </c>
      <c r="Q146" s="9" t="s">
        <v>46</v>
      </c>
      <c r="R146" s="13" t="s">
        <v>267</v>
      </c>
    </row>
    <row r="147" spans="1:18" x14ac:dyDescent="0.3">
      <c r="A147" s="16" t="s">
        <v>203</v>
      </c>
      <c r="B147" s="9" t="s">
        <v>32</v>
      </c>
      <c r="C147" s="9" t="s">
        <v>38</v>
      </c>
      <c r="D147" s="9">
        <v>33</v>
      </c>
      <c r="E147" s="9" t="s">
        <v>44</v>
      </c>
      <c r="F147" s="9" t="s">
        <v>45</v>
      </c>
      <c r="G147" s="9" t="s">
        <v>33</v>
      </c>
      <c r="H147" s="9" t="s">
        <v>54</v>
      </c>
      <c r="I147" s="10">
        <v>46072</v>
      </c>
      <c r="J147" s="10">
        <v>46081</v>
      </c>
      <c r="K147" s="10">
        <v>46088</v>
      </c>
      <c r="L147" s="10">
        <v>46094</v>
      </c>
      <c r="M147" s="9" t="s">
        <v>41</v>
      </c>
      <c r="N147" s="19">
        <v>455251</v>
      </c>
      <c r="O147" s="19">
        <v>410774</v>
      </c>
      <c r="P147" s="9">
        <v>9</v>
      </c>
      <c r="Q147" s="9" t="s">
        <v>26</v>
      </c>
      <c r="R147" s="13">
        <v>22</v>
      </c>
    </row>
    <row r="148" spans="1:18" x14ac:dyDescent="0.3">
      <c r="A148" s="16" t="s">
        <v>204</v>
      </c>
      <c r="B148" s="9" t="s">
        <v>99</v>
      </c>
      <c r="C148" s="9" t="s">
        <v>20</v>
      </c>
      <c r="D148" s="9">
        <v>39</v>
      </c>
      <c r="E148" s="9" t="s">
        <v>44</v>
      </c>
      <c r="F148" s="9" t="s">
        <v>45</v>
      </c>
      <c r="G148" s="9" t="s">
        <v>29</v>
      </c>
      <c r="H148" s="9" t="s">
        <v>34</v>
      </c>
      <c r="I148" s="10">
        <v>46044</v>
      </c>
      <c r="J148" s="10">
        <v>46053</v>
      </c>
      <c r="K148" s="10"/>
      <c r="L148" s="10"/>
      <c r="M148" s="9" t="s">
        <v>25</v>
      </c>
      <c r="N148" s="19">
        <v>613996</v>
      </c>
      <c r="O148" s="19"/>
      <c r="P148" s="9">
        <v>9</v>
      </c>
      <c r="Q148" s="9" t="s">
        <v>42</v>
      </c>
      <c r="R148" s="13" t="s">
        <v>267</v>
      </c>
    </row>
    <row r="149" spans="1:18" x14ac:dyDescent="0.3">
      <c r="A149" s="16" t="s">
        <v>205</v>
      </c>
      <c r="B149" s="9" t="s">
        <v>78</v>
      </c>
      <c r="C149" s="9" t="s">
        <v>20</v>
      </c>
      <c r="D149" s="9">
        <v>33</v>
      </c>
      <c r="E149" s="9" t="s">
        <v>49</v>
      </c>
      <c r="F149" s="9" t="s">
        <v>50</v>
      </c>
      <c r="G149" s="9" t="s">
        <v>33</v>
      </c>
      <c r="H149" s="9" t="s">
        <v>24</v>
      </c>
      <c r="I149" s="10">
        <v>46054</v>
      </c>
      <c r="J149" s="10">
        <v>46063</v>
      </c>
      <c r="K149" s="10"/>
      <c r="L149" s="10"/>
      <c r="M149" s="9" t="s">
        <v>25</v>
      </c>
      <c r="N149" s="19">
        <v>537194</v>
      </c>
      <c r="O149" s="19"/>
      <c r="P149" s="9">
        <v>9</v>
      </c>
      <c r="Q149" s="9" t="s">
        <v>46</v>
      </c>
      <c r="R149" s="13" t="s">
        <v>267</v>
      </c>
    </row>
    <row r="150" spans="1:18" x14ac:dyDescent="0.3">
      <c r="A150" s="16" t="s">
        <v>206</v>
      </c>
      <c r="B150" s="9" t="s">
        <v>78</v>
      </c>
      <c r="C150" s="9" t="s">
        <v>38</v>
      </c>
      <c r="D150" s="9">
        <v>40</v>
      </c>
      <c r="E150" s="9" t="s">
        <v>49</v>
      </c>
      <c r="F150" s="9" t="s">
        <v>50</v>
      </c>
      <c r="G150" s="9" t="s">
        <v>23</v>
      </c>
      <c r="H150" s="9" t="s">
        <v>57</v>
      </c>
      <c r="I150" s="10">
        <v>46181</v>
      </c>
      <c r="J150" s="10">
        <v>46185</v>
      </c>
      <c r="K150" s="10"/>
      <c r="L150" s="10"/>
      <c r="M150" s="9" t="s">
        <v>70</v>
      </c>
      <c r="N150" s="19">
        <v>629531</v>
      </c>
      <c r="O150" s="19"/>
      <c r="P150" s="9">
        <v>2</v>
      </c>
      <c r="Q150" s="9" t="s">
        <v>42</v>
      </c>
      <c r="R150" s="13" t="s">
        <v>267</v>
      </c>
    </row>
    <row r="151" spans="1:18" x14ac:dyDescent="0.3">
      <c r="A151" s="16" t="s">
        <v>207</v>
      </c>
      <c r="B151" s="9" t="s">
        <v>99</v>
      </c>
      <c r="C151" s="9" t="s">
        <v>38</v>
      </c>
      <c r="D151" s="9">
        <v>27</v>
      </c>
      <c r="E151" s="9" t="s">
        <v>49</v>
      </c>
      <c r="F151" s="9" t="s">
        <v>50</v>
      </c>
      <c r="G151" s="9" t="s">
        <v>33</v>
      </c>
      <c r="H151" s="9" t="s">
        <v>57</v>
      </c>
      <c r="I151" s="10">
        <v>46181</v>
      </c>
      <c r="J151" s="10">
        <v>46185</v>
      </c>
      <c r="K151" s="10"/>
      <c r="L151" s="10"/>
      <c r="M151" s="9" t="s">
        <v>60</v>
      </c>
      <c r="N151" s="19">
        <v>696345</v>
      </c>
      <c r="O151" s="19"/>
      <c r="P151" s="9">
        <v>4</v>
      </c>
      <c r="Q151" s="9" t="s">
        <v>42</v>
      </c>
      <c r="R151" s="13" t="s">
        <v>267</v>
      </c>
    </row>
    <row r="152" spans="1:18" x14ac:dyDescent="0.3">
      <c r="A152" s="16" t="s">
        <v>208</v>
      </c>
      <c r="B152" s="9" t="s">
        <v>37</v>
      </c>
      <c r="C152" s="9" t="s">
        <v>20</v>
      </c>
      <c r="D152" s="9">
        <v>27</v>
      </c>
      <c r="E152" s="9" t="s">
        <v>49</v>
      </c>
      <c r="F152" s="9" t="s">
        <v>50</v>
      </c>
      <c r="G152" s="9" t="s">
        <v>29</v>
      </c>
      <c r="H152" s="9" t="s">
        <v>30</v>
      </c>
      <c r="I152" s="10">
        <v>46089</v>
      </c>
      <c r="J152" s="10">
        <v>46093</v>
      </c>
      <c r="K152" s="10"/>
      <c r="L152" s="10"/>
      <c r="M152" s="9" t="s">
        <v>70</v>
      </c>
      <c r="N152" s="19">
        <v>761259</v>
      </c>
      <c r="O152" s="19"/>
      <c r="P152" s="9">
        <v>2</v>
      </c>
      <c r="Q152" s="9" t="s">
        <v>42</v>
      </c>
      <c r="R152" s="13" t="s">
        <v>267</v>
      </c>
    </row>
    <row r="153" spans="1:18" x14ac:dyDescent="0.3">
      <c r="A153" s="16" t="s">
        <v>209</v>
      </c>
      <c r="B153" s="9" t="s">
        <v>32</v>
      </c>
      <c r="C153" s="9" t="s">
        <v>38</v>
      </c>
      <c r="D153" s="9">
        <v>40</v>
      </c>
      <c r="E153" s="9" t="s">
        <v>39</v>
      </c>
      <c r="F153" s="9" t="s">
        <v>40</v>
      </c>
      <c r="G153" s="9" t="s">
        <v>33</v>
      </c>
      <c r="H153" s="9" t="s">
        <v>34</v>
      </c>
      <c r="I153" s="10">
        <v>46143</v>
      </c>
      <c r="J153" s="10">
        <v>46151</v>
      </c>
      <c r="K153" s="10"/>
      <c r="L153" s="10"/>
      <c r="M153" s="9" t="s">
        <v>51</v>
      </c>
      <c r="N153" s="19">
        <v>444319</v>
      </c>
      <c r="O153" s="19"/>
      <c r="P153" s="9">
        <v>11</v>
      </c>
      <c r="Q153" s="9" t="s">
        <v>46</v>
      </c>
      <c r="R153" s="13" t="s">
        <v>267</v>
      </c>
    </row>
    <row r="154" spans="1:18" x14ac:dyDescent="0.3">
      <c r="A154" s="16" t="s">
        <v>210</v>
      </c>
      <c r="B154" s="9" t="s">
        <v>76</v>
      </c>
      <c r="C154" s="9" t="s">
        <v>38</v>
      </c>
      <c r="D154" s="9">
        <v>33</v>
      </c>
      <c r="E154" s="9" t="s">
        <v>21</v>
      </c>
      <c r="F154" s="9" t="s">
        <v>22</v>
      </c>
      <c r="G154" s="9" t="s">
        <v>23</v>
      </c>
      <c r="H154" s="9" t="s">
        <v>30</v>
      </c>
      <c r="I154" s="10">
        <v>46109</v>
      </c>
      <c r="J154" s="10">
        <v>46114</v>
      </c>
      <c r="K154" s="10"/>
      <c r="L154" s="10"/>
      <c r="M154" s="9" t="s">
        <v>51</v>
      </c>
      <c r="N154" s="19">
        <v>474838</v>
      </c>
      <c r="O154" s="19"/>
      <c r="P154" s="9">
        <v>11</v>
      </c>
      <c r="Q154" s="9" t="s">
        <v>42</v>
      </c>
      <c r="R154" s="13" t="s">
        <v>267</v>
      </c>
    </row>
    <row r="155" spans="1:18" x14ac:dyDescent="0.3">
      <c r="A155" s="16" t="s">
        <v>211</v>
      </c>
      <c r="B155" s="9" t="s">
        <v>48</v>
      </c>
      <c r="C155" s="9" t="s">
        <v>38</v>
      </c>
      <c r="D155" s="9">
        <v>35</v>
      </c>
      <c r="E155" s="9" t="s">
        <v>21</v>
      </c>
      <c r="F155" s="9" t="s">
        <v>22</v>
      </c>
      <c r="G155" s="9" t="s">
        <v>29</v>
      </c>
      <c r="H155" s="9" t="s">
        <v>24</v>
      </c>
      <c r="I155" s="10">
        <v>46068</v>
      </c>
      <c r="J155" s="10">
        <v>46070</v>
      </c>
      <c r="K155" s="10"/>
      <c r="L155" s="10"/>
      <c r="M155" s="9" t="s">
        <v>51</v>
      </c>
      <c r="N155" s="19">
        <v>407440</v>
      </c>
      <c r="O155" s="19"/>
      <c r="P155" s="9">
        <v>6</v>
      </c>
      <c r="Q155" s="9" t="s">
        <v>42</v>
      </c>
      <c r="R155" s="13" t="s">
        <v>267</v>
      </c>
    </row>
    <row r="156" spans="1:18" x14ac:dyDescent="0.3">
      <c r="A156" s="16" t="s">
        <v>212</v>
      </c>
      <c r="B156" s="9" t="s">
        <v>48</v>
      </c>
      <c r="C156" s="9" t="s">
        <v>20</v>
      </c>
      <c r="D156" s="9">
        <v>35</v>
      </c>
      <c r="E156" s="9" t="s">
        <v>49</v>
      </c>
      <c r="F156" s="9" t="s">
        <v>50</v>
      </c>
      <c r="G156" s="9" t="s">
        <v>56</v>
      </c>
      <c r="H156" s="9" t="s">
        <v>24</v>
      </c>
      <c r="I156" s="10">
        <v>46029</v>
      </c>
      <c r="J156" s="10">
        <v>46039</v>
      </c>
      <c r="K156" s="10"/>
      <c r="L156" s="10"/>
      <c r="M156" s="9" t="s">
        <v>60</v>
      </c>
      <c r="N156" s="19">
        <v>492855</v>
      </c>
      <c r="O156" s="19"/>
      <c r="P156" s="9">
        <v>10</v>
      </c>
      <c r="Q156" s="9" t="s">
        <v>26</v>
      </c>
      <c r="R156" s="13" t="s">
        <v>267</v>
      </c>
    </row>
    <row r="157" spans="1:18" x14ac:dyDescent="0.3">
      <c r="A157" s="16" t="s">
        <v>213</v>
      </c>
      <c r="B157" s="9" t="s">
        <v>48</v>
      </c>
      <c r="C157" s="9" t="s">
        <v>20</v>
      </c>
      <c r="D157" s="9">
        <v>33</v>
      </c>
      <c r="E157" s="9" t="s">
        <v>53</v>
      </c>
      <c r="F157" s="9" t="s">
        <v>50</v>
      </c>
      <c r="G157" s="9" t="s">
        <v>29</v>
      </c>
      <c r="H157" s="9" t="s">
        <v>54</v>
      </c>
      <c r="I157" s="10">
        <v>46156</v>
      </c>
      <c r="J157" s="10">
        <v>46162</v>
      </c>
      <c r="K157" s="10"/>
      <c r="L157" s="10"/>
      <c r="M157" s="9" t="s">
        <v>70</v>
      </c>
      <c r="N157" s="19">
        <v>427738</v>
      </c>
      <c r="O157" s="19"/>
      <c r="P157" s="9">
        <v>7</v>
      </c>
      <c r="Q157" s="9" t="s">
        <v>42</v>
      </c>
      <c r="R157" s="13" t="s">
        <v>267</v>
      </c>
    </row>
    <row r="158" spans="1:18" x14ac:dyDescent="0.3">
      <c r="A158" s="16" t="s">
        <v>214</v>
      </c>
      <c r="B158" s="9" t="s">
        <v>59</v>
      </c>
      <c r="C158" s="9" t="s">
        <v>20</v>
      </c>
      <c r="D158" s="9">
        <v>23</v>
      </c>
      <c r="E158" s="9" t="s">
        <v>21</v>
      </c>
      <c r="F158" s="9" t="s">
        <v>22</v>
      </c>
      <c r="G158" s="9" t="s">
        <v>29</v>
      </c>
      <c r="H158" s="9" t="s">
        <v>30</v>
      </c>
      <c r="I158" s="10">
        <v>46062</v>
      </c>
      <c r="J158" s="10">
        <v>46064</v>
      </c>
      <c r="K158" s="10"/>
      <c r="L158" s="10"/>
      <c r="M158" s="9" t="s">
        <v>51</v>
      </c>
      <c r="N158" s="19">
        <v>334117</v>
      </c>
      <c r="O158" s="19"/>
      <c r="P158" s="9">
        <v>6</v>
      </c>
      <c r="Q158" s="9" t="s">
        <v>42</v>
      </c>
      <c r="R158" s="13" t="s">
        <v>267</v>
      </c>
    </row>
    <row r="159" spans="1:18" x14ac:dyDescent="0.3">
      <c r="A159" s="16" t="s">
        <v>215</v>
      </c>
      <c r="B159" s="9" t="s">
        <v>59</v>
      </c>
      <c r="C159" s="9" t="s">
        <v>38</v>
      </c>
      <c r="D159" s="9">
        <v>24</v>
      </c>
      <c r="E159" s="9" t="s">
        <v>53</v>
      </c>
      <c r="F159" s="9" t="s">
        <v>50</v>
      </c>
      <c r="G159" s="9" t="s">
        <v>56</v>
      </c>
      <c r="H159" s="9" t="s">
        <v>24</v>
      </c>
      <c r="I159" s="10">
        <v>46145</v>
      </c>
      <c r="J159" s="10">
        <v>46150</v>
      </c>
      <c r="K159" s="10">
        <v>46154</v>
      </c>
      <c r="L159" s="10">
        <v>46163</v>
      </c>
      <c r="M159" s="9" t="s">
        <v>41</v>
      </c>
      <c r="N159" s="19">
        <v>390903</v>
      </c>
      <c r="O159" s="19">
        <v>823290</v>
      </c>
      <c r="P159" s="9">
        <v>8</v>
      </c>
      <c r="Q159" s="9" t="s">
        <v>46</v>
      </c>
      <c r="R159" s="13">
        <v>18</v>
      </c>
    </row>
    <row r="160" spans="1:18" x14ac:dyDescent="0.3">
      <c r="A160" s="16" t="s">
        <v>216</v>
      </c>
      <c r="B160" s="9" t="s">
        <v>78</v>
      </c>
      <c r="C160" s="9" t="s">
        <v>20</v>
      </c>
      <c r="D160" s="9">
        <v>29</v>
      </c>
      <c r="E160" s="9" t="s">
        <v>53</v>
      </c>
      <c r="F160" s="9" t="s">
        <v>50</v>
      </c>
      <c r="G160" s="9" t="s">
        <v>56</v>
      </c>
      <c r="H160" s="9" t="s">
        <v>57</v>
      </c>
      <c r="I160" s="10">
        <v>46155</v>
      </c>
      <c r="J160" s="10">
        <v>46159</v>
      </c>
      <c r="K160" s="10"/>
      <c r="L160" s="10"/>
      <c r="M160" s="9" t="s">
        <v>25</v>
      </c>
      <c r="N160" s="19">
        <v>317979</v>
      </c>
      <c r="O160" s="19"/>
      <c r="P160" s="9">
        <v>5</v>
      </c>
      <c r="Q160" s="9" t="s">
        <v>46</v>
      </c>
      <c r="R160" s="13" t="s">
        <v>267</v>
      </c>
    </row>
    <row r="161" spans="1:18" x14ac:dyDescent="0.3">
      <c r="A161" s="16" t="s">
        <v>217</v>
      </c>
      <c r="B161" s="9" t="s">
        <v>99</v>
      </c>
      <c r="C161" s="9" t="s">
        <v>20</v>
      </c>
      <c r="D161" s="9">
        <v>21</v>
      </c>
      <c r="E161" s="9" t="s">
        <v>21</v>
      </c>
      <c r="F161" s="9" t="s">
        <v>22</v>
      </c>
      <c r="G161" s="9" t="s">
        <v>29</v>
      </c>
      <c r="H161" s="9" t="s">
        <v>54</v>
      </c>
      <c r="I161" s="10">
        <v>46172</v>
      </c>
      <c r="J161" s="10">
        <v>46174</v>
      </c>
      <c r="K161" s="10"/>
      <c r="L161" s="10"/>
      <c r="M161" s="9" t="s">
        <v>60</v>
      </c>
      <c r="N161" s="19">
        <v>677673</v>
      </c>
      <c r="O161" s="19"/>
      <c r="P161" s="9">
        <v>12</v>
      </c>
      <c r="Q161" s="9" t="s">
        <v>26</v>
      </c>
      <c r="R161" s="13" t="s">
        <v>267</v>
      </c>
    </row>
    <row r="162" spans="1:18" x14ac:dyDescent="0.3">
      <c r="A162" s="16" t="s">
        <v>218</v>
      </c>
      <c r="B162" s="9" t="s">
        <v>99</v>
      </c>
      <c r="C162" s="9" t="s">
        <v>20</v>
      </c>
      <c r="D162" s="9">
        <v>26</v>
      </c>
      <c r="E162" s="9" t="s">
        <v>49</v>
      </c>
      <c r="F162" s="9" t="s">
        <v>50</v>
      </c>
      <c r="G162" s="9" t="s">
        <v>56</v>
      </c>
      <c r="H162" s="9" t="s">
        <v>24</v>
      </c>
      <c r="I162" s="10">
        <v>46189</v>
      </c>
      <c r="J162" s="10">
        <v>46192</v>
      </c>
      <c r="K162" s="10">
        <v>46194</v>
      </c>
      <c r="L162" s="10">
        <v>46203</v>
      </c>
      <c r="M162" s="9" t="s">
        <v>41</v>
      </c>
      <c r="N162" s="19">
        <v>634385</v>
      </c>
      <c r="O162" s="19">
        <v>735199</v>
      </c>
      <c r="P162" s="9">
        <v>3</v>
      </c>
      <c r="Q162" s="9" t="s">
        <v>42</v>
      </c>
      <c r="R162" s="13">
        <v>14</v>
      </c>
    </row>
    <row r="163" spans="1:18" x14ac:dyDescent="0.3">
      <c r="A163" s="16" t="s">
        <v>219</v>
      </c>
      <c r="B163" s="9" t="s">
        <v>48</v>
      </c>
      <c r="C163" s="9" t="s">
        <v>20</v>
      </c>
      <c r="D163" s="9">
        <v>39</v>
      </c>
      <c r="E163" s="9" t="s">
        <v>44</v>
      </c>
      <c r="F163" s="9" t="s">
        <v>45</v>
      </c>
      <c r="G163" s="9" t="s">
        <v>23</v>
      </c>
      <c r="H163" s="9" t="s">
        <v>30</v>
      </c>
      <c r="I163" s="10">
        <v>46042</v>
      </c>
      <c r="J163" s="10">
        <v>46051</v>
      </c>
      <c r="K163" s="10"/>
      <c r="L163" s="10"/>
      <c r="M163" s="9" t="s">
        <v>35</v>
      </c>
      <c r="N163" s="19">
        <v>886438</v>
      </c>
      <c r="O163" s="19"/>
      <c r="P163" s="9">
        <v>4</v>
      </c>
      <c r="Q163" s="9" t="s">
        <v>46</v>
      </c>
      <c r="R163" s="13" t="s">
        <v>267</v>
      </c>
    </row>
    <row r="164" spans="1:18" x14ac:dyDescent="0.3">
      <c r="A164" s="16" t="s">
        <v>220</v>
      </c>
      <c r="B164" s="9" t="s">
        <v>37</v>
      </c>
      <c r="C164" s="9" t="s">
        <v>20</v>
      </c>
      <c r="D164" s="9">
        <v>36</v>
      </c>
      <c r="E164" s="9" t="s">
        <v>44</v>
      </c>
      <c r="F164" s="9" t="s">
        <v>45</v>
      </c>
      <c r="G164" s="9" t="s">
        <v>33</v>
      </c>
      <c r="H164" s="9" t="s">
        <v>54</v>
      </c>
      <c r="I164" s="10">
        <v>46149</v>
      </c>
      <c r="J164" s="10">
        <v>46151</v>
      </c>
      <c r="K164" s="10"/>
      <c r="L164" s="10"/>
      <c r="M164" s="9" t="s">
        <v>35</v>
      </c>
      <c r="N164" s="19">
        <v>390106</v>
      </c>
      <c r="O164" s="19"/>
      <c r="P164" s="9">
        <v>4</v>
      </c>
      <c r="Q164" s="9" t="s">
        <v>26</v>
      </c>
      <c r="R164" s="13" t="s">
        <v>267</v>
      </c>
    </row>
    <row r="165" spans="1:18" x14ac:dyDescent="0.3">
      <c r="A165" s="16" t="s">
        <v>221</v>
      </c>
      <c r="B165" s="9" t="s">
        <v>19</v>
      </c>
      <c r="C165" s="9" t="s">
        <v>38</v>
      </c>
      <c r="D165" s="9">
        <v>36</v>
      </c>
      <c r="E165" s="9" t="s">
        <v>53</v>
      </c>
      <c r="F165" s="9" t="s">
        <v>50</v>
      </c>
      <c r="G165" s="9" t="s">
        <v>33</v>
      </c>
      <c r="H165" s="9" t="s">
        <v>57</v>
      </c>
      <c r="I165" s="10">
        <v>46177</v>
      </c>
      <c r="J165" s="10">
        <v>46183</v>
      </c>
      <c r="K165" s="10"/>
      <c r="L165" s="10"/>
      <c r="M165" s="9" t="s">
        <v>60</v>
      </c>
      <c r="N165" s="19">
        <v>398600</v>
      </c>
      <c r="O165" s="19"/>
      <c r="P165" s="9">
        <v>7</v>
      </c>
      <c r="Q165" s="9" t="s">
        <v>42</v>
      </c>
      <c r="R165" s="13" t="s">
        <v>267</v>
      </c>
    </row>
    <row r="166" spans="1:18" x14ac:dyDescent="0.3">
      <c r="A166" s="16" t="s">
        <v>222</v>
      </c>
      <c r="B166" s="9" t="s">
        <v>28</v>
      </c>
      <c r="C166" s="9" t="s">
        <v>20</v>
      </c>
      <c r="D166" s="9">
        <v>40</v>
      </c>
      <c r="E166" s="9" t="s">
        <v>49</v>
      </c>
      <c r="F166" s="9" t="s">
        <v>50</v>
      </c>
      <c r="G166" s="9" t="s">
        <v>33</v>
      </c>
      <c r="H166" s="9" t="s">
        <v>54</v>
      </c>
      <c r="I166" s="10">
        <v>46122</v>
      </c>
      <c r="J166" s="10">
        <v>46126</v>
      </c>
      <c r="K166" s="10"/>
      <c r="L166" s="10"/>
      <c r="M166" s="9" t="s">
        <v>70</v>
      </c>
      <c r="N166" s="19">
        <v>554594</v>
      </c>
      <c r="O166" s="19"/>
      <c r="P166" s="9">
        <v>7</v>
      </c>
      <c r="Q166" s="9" t="s">
        <v>42</v>
      </c>
      <c r="R166" s="13" t="s">
        <v>267</v>
      </c>
    </row>
    <row r="167" spans="1:18" x14ac:dyDescent="0.3">
      <c r="A167" s="16" t="s">
        <v>223</v>
      </c>
      <c r="B167" s="9" t="s">
        <v>59</v>
      </c>
      <c r="C167" s="9" t="s">
        <v>38</v>
      </c>
      <c r="D167" s="9">
        <v>27</v>
      </c>
      <c r="E167" s="9" t="s">
        <v>44</v>
      </c>
      <c r="F167" s="9" t="s">
        <v>45</v>
      </c>
      <c r="G167" s="9" t="s">
        <v>56</v>
      </c>
      <c r="H167" s="9" t="s">
        <v>30</v>
      </c>
      <c r="I167" s="10">
        <v>46106</v>
      </c>
      <c r="J167" s="10">
        <v>46116</v>
      </c>
      <c r="K167" s="10"/>
      <c r="L167" s="10"/>
      <c r="M167" s="9" t="s">
        <v>70</v>
      </c>
      <c r="N167" s="19">
        <v>877612</v>
      </c>
      <c r="O167" s="19"/>
      <c r="P167" s="9">
        <v>12</v>
      </c>
      <c r="Q167" s="9" t="s">
        <v>42</v>
      </c>
      <c r="R167" s="13" t="s">
        <v>267</v>
      </c>
    </row>
    <row r="168" spans="1:18" x14ac:dyDescent="0.3">
      <c r="A168" s="16" t="s">
        <v>224</v>
      </c>
      <c r="B168" s="9" t="s">
        <v>76</v>
      </c>
      <c r="C168" s="9" t="s">
        <v>38</v>
      </c>
      <c r="D168" s="9">
        <v>23</v>
      </c>
      <c r="E168" s="9" t="s">
        <v>39</v>
      </c>
      <c r="F168" s="9" t="s">
        <v>40</v>
      </c>
      <c r="G168" s="9" t="s">
        <v>29</v>
      </c>
      <c r="H168" s="9" t="s">
        <v>34</v>
      </c>
      <c r="I168" s="10">
        <v>46049</v>
      </c>
      <c r="J168" s="10">
        <v>46058</v>
      </c>
      <c r="K168" s="10"/>
      <c r="L168" s="10"/>
      <c r="M168" s="9" t="s">
        <v>25</v>
      </c>
      <c r="N168" s="19">
        <v>774899</v>
      </c>
      <c r="O168" s="19"/>
      <c r="P168" s="9">
        <v>10</v>
      </c>
      <c r="Q168" s="9" t="s">
        <v>26</v>
      </c>
      <c r="R168" s="13" t="s">
        <v>267</v>
      </c>
    </row>
    <row r="169" spans="1:18" x14ac:dyDescent="0.3">
      <c r="A169" s="16" t="s">
        <v>225</v>
      </c>
      <c r="B169" s="9" t="s">
        <v>99</v>
      </c>
      <c r="C169" s="9" t="s">
        <v>20</v>
      </c>
      <c r="D169" s="9">
        <v>21</v>
      </c>
      <c r="E169" s="9" t="s">
        <v>21</v>
      </c>
      <c r="F169" s="9" t="s">
        <v>22</v>
      </c>
      <c r="G169" s="9" t="s">
        <v>56</v>
      </c>
      <c r="H169" s="9" t="s">
        <v>57</v>
      </c>
      <c r="I169" s="10">
        <v>46107</v>
      </c>
      <c r="J169" s="10">
        <v>46110</v>
      </c>
      <c r="K169" s="10"/>
      <c r="L169" s="10"/>
      <c r="M169" s="9" t="s">
        <v>51</v>
      </c>
      <c r="N169" s="19">
        <v>663833</v>
      </c>
      <c r="O169" s="19"/>
      <c r="P169" s="9">
        <v>3</v>
      </c>
      <c r="Q169" s="9" t="s">
        <v>26</v>
      </c>
      <c r="R169" s="13" t="s">
        <v>267</v>
      </c>
    </row>
    <row r="170" spans="1:18" x14ac:dyDescent="0.3">
      <c r="A170" s="16" t="s">
        <v>226</v>
      </c>
      <c r="B170" s="9" t="s">
        <v>99</v>
      </c>
      <c r="C170" s="9" t="s">
        <v>38</v>
      </c>
      <c r="D170" s="9">
        <v>22</v>
      </c>
      <c r="E170" s="9" t="s">
        <v>53</v>
      </c>
      <c r="F170" s="9" t="s">
        <v>50</v>
      </c>
      <c r="G170" s="9" t="s">
        <v>29</v>
      </c>
      <c r="H170" s="9" t="s">
        <v>54</v>
      </c>
      <c r="I170" s="10">
        <v>46177</v>
      </c>
      <c r="J170" s="10">
        <v>46180</v>
      </c>
      <c r="K170" s="10"/>
      <c r="L170" s="10"/>
      <c r="M170" s="9" t="s">
        <v>51</v>
      </c>
      <c r="N170" s="19">
        <v>852171</v>
      </c>
      <c r="O170" s="19"/>
      <c r="P170" s="9">
        <v>12</v>
      </c>
      <c r="Q170" s="9" t="s">
        <v>26</v>
      </c>
      <c r="R170" s="13" t="s">
        <v>267</v>
      </c>
    </row>
    <row r="171" spans="1:18" x14ac:dyDescent="0.3">
      <c r="A171" s="16" t="s">
        <v>227</v>
      </c>
      <c r="B171" s="9" t="s">
        <v>19</v>
      </c>
      <c r="C171" s="9" t="s">
        <v>20</v>
      </c>
      <c r="D171" s="9">
        <v>31</v>
      </c>
      <c r="E171" s="9" t="s">
        <v>21</v>
      </c>
      <c r="F171" s="9" t="s">
        <v>22</v>
      </c>
      <c r="G171" s="9" t="s">
        <v>23</v>
      </c>
      <c r="H171" s="9" t="s">
        <v>34</v>
      </c>
      <c r="I171" s="10">
        <v>46190</v>
      </c>
      <c r="J171" s="10">
        <v>46198</v>
      </c>
      <c r="K171" s="10"/>
      <c r="L171" s="10"/>
      <c r="M171" s="9" t="s">
        <v>70</v>
      </c>
      <c r="N171" s="19">
        <v>742200</v>
      </c>
      <c r="O171" s="19"/>
      <c r="P171" s="9">
        <v>5</v>
      </c>
      <c r="Q171" s="9" t="s">
        <v>42</v>
      </c>
      <c r="R171" s="13" t="s">
        <v>267</v>
      </c>
    </row>
    <row r="172" spans="1:18" x14ac:dyDescent="0.3">
      <c r="A172" s="16" t="s">
        <v>228</v>
      </c>
      <c r="B172" s="9" t="s">
        <v>85</v>
      </c>
      <c r="C172" s="9" t="s">
        <v>20</v>
      </c>
      <c r="D172" s="9">
        <v>26</v>
      </c>
      <c r="E172" s="9" t="s">
        <v>49</v>
      </c>
      <c r="F172" s="9" t="s">
        <v>50</v>
      </c>
      <c r="G172" s="9" t="s">
        <v>56</v>
      </c>
      <c r="H172" s="9" t="s">
        <v>24</v>
      </c>
      <c r="I172" s="10">
        <v>46098</v>
      </c>
      <c r="J172" s="10">
        <v>46103</v>
      </c>
      <c r="K172" s="10"/>
      <c r="L172" s="10"/>
      <c r="M172" s="9" t="s">
        <v>70</v>
      </c>
      <c r="N172" s="19">
        <v>321633</v>
      </c>
      <c r="O172" s="19"/>
      <c r="P172" s="9">
        <v>9</v>
      </c>
      <c r="Q172" s="9" t="s">
        <v>46</v>
      </c>
      <c r="R172" s="13" t="s">
        <v>267</v>
      </c>
    </row>
    <row r="173" spans="1:18" x14ac:dyDescent="0.3">
      <c r="A173" s="16" t="s">
        <v>229</v>
      </c>
      <c r="B173" s="9" t="s">
        <v>37</v>
      </c>
      <c r="C173" s="9" t="s">
        <v>20</v>
      </c>
      <c r="D173" s="9">
        <v>29</v>
      </c>
      <c r="E173" s="9" t="s">
        <v>39</v>
      </c>
      <c r="F173" s="9" t="s">
        <v>40</v>
      </c>
      <c r="G173" s="9" t="s">
        <v>29</v>
      </c>
      <c r="H173" s="9" t="s">
        <v>54</v>
      </c>
      <c r="I173" s="10">
        <v>46046</v>
      </c>
      <c r="J173" s="10">
        <v>46053</v>
      </c>
      <c r="K173" s="10"/>
      <c r="L173" s="10"/>
      <c r="M173" s="9" t="s">
        <v>35</v>
      </c>
      <c r="N173" s="19">
        <v>461690</v>
      </c>
      <c r="O173" s="19"/>
      <c r="P173" s="9">
        <v>7</v>
      </c>
      <c r="Q173" s="9" t="s">
        <v>42</v>
      </c>
      <c r="R173" s="13" t="s">
        <v>267</v>
      </c>
    </row>
    <row r="174" spans="1:18" x14ac:dyDescent="0.3">
      <c r="A174" s="16" t="s">
        <v>230</v>
      </c>
      <c r="B174" s="9" t="s">
        <v>19</v>
      </c>
      <c r="C174" s="9" t="s">
        <v>38</v>
      </c>
      <c r="D174" s="9">
        <v>33</v>
      </c>
      <c r="E174" s="9" t="s">
        <v>49</v>
      </c>
      <c r="F174" s="9" t="s">
        <v>50</v>
      </c>
      <c r="G174" s="9" t="s">
        <v>33</v>
      </c>
      <c r="H174" s="9" t="s">
        <v>34</v>
      </c>
      <c r="I174" s="10">
        <v>46039</v>
      </c>
      <c r="J174" s="10">
        <v>46045</v>
      </c>
      <c r="K174" s="10">
        <v>46050</v>
      </c>
      <c r="L174" s="10"/>
      <c r="M174" s="9" t="s">
        <v>79</v>
      </c>
      <c r="N174" s="19">
        <v>667157</v>
      </c>
      <c r="O174" s="19">
        <v>687742</v>
      </c>
      <c r="P174" s="9">
        <v>3</v>
      </c>
      <c r="Q174" s="9" t="s">
        <v>42</v>
      </c>
      <c r="R174" s="13" t="s">
        <v>267</v>
      </c>
    </row>
    <row r="175" spans="1:18" x14ac:dyDescent="0.3">
      <c r="A175" s="16" t="s">
        <v>231</v>
      </c>
      <c r="B175" s="9" t="s">
        <v>28</v>
      </c>
      <c r="C175" s="9" t="s">
        <v>20</v>
      </c>
      <c r="D175" s="9">
        <v>30</v>
      </c>
      <c r="E175" s="9" t="s">
        <v>44</v>
      </c>
      <c r="F175" s="9" t="s">
        <v>45</v>
      </c>
      <c r="G175" s="9" t="s">
        <v>29</v>
      </c>
      <c r="H175" s="9" t="s">
        <v>34</v>
      </c>
      <c r="I175" s="10">
        <v>46171</v>
      </c>
      <c r="J175" s="10">
        <v>46174</v>
      </c>
      <c r="K175" s="10"/>
      <c r="L175" s="10"/>
      <c r="M175" s="9" t="s">
        <v>70</v>
      </c>
      <c r="N175" s="19">
        <v>624598</v>
      </c>
      <c r="O175" s="19"/>
      <c r="P175" s="9">
        <v>10</v>
      </c>
      <c r="Q175" s="9" t="s">
        <v>26</v>
      </c>
      <c r="R175" s="13" t="s">
        <v>267</v>
      </c>
    </row>
    <row r="176" spans="1:18" x14ac:dyDescent="0.3">
      <c r="A176" s="16" t="s">
        <v>232</v>
      </c>
      <c r="B176" s="9" t="s">
        <v>37</v>
      </c>
      <c r="C176" s="9" t="s">
        <v>38</v>
      </c>
      <c r="D176" s="9">
        <v>38</v>
      </c>
      <c r="E176" s="9" t="s">
        <v>53</v>
      </c>
      <c r="F176" s="9" t="s">
        <v>50</v>
      </c>
      <c r="G176" s="9" t="s">
        <v>33</v>
      </c>
      <c r="H176" s="9" t="s">
        <v>34</v>
      </c>
      <c r="I176" s="10">
        <v>46147</v>
      </c>
      <c r="J176" s="10">
        <v>46151</v>
      </c>
      <c r="K176" s="10"/>
      <c r="L176" s="10"/>
      <c r="M176" s="9" t="s">
        <v>25</v>
      </c>
      <c r="N176" s="19">
        <v>881656</v>
      </c>
      <c r="O176" s="19"/>
      <c r="P176" s="9">
        <v>4</v>
      </c>
      <c r="Q176" s="9" t="s">
        <v>46</v>
      </c>
      <c r="R176" s="13" t="s">
        <v>267</v>
      </c>
    </row>
    <row r="177" spans="1:18" x14ac:dyDescent="0.3">
      <c r="A177" s="16" t="s">
        <v>233</v>
      </c>
      <c r="B177" s="9" t="s">
        <v>19</v>
      </c>
      <c r="C177" s="9" t="s">
        <v>20</v>
      </c>
      <c r="D177" s="9">
        <v>28</v>
      </c>
      <c r="E177" s="9" t="s">
        <v>39</v>
      </c>
      <c r="F177" s="9" t="s">
        <v>40</v>
      </c>
      <c r="G177" s="9" t="s">
        <v>23</v>
      </c>
      <c r="H177" s="9" t="s">
        <v>57</v>
      </c>
      <c r="I177" s="10">
        <v>46100</v>
      </c>
      <c r="J177" s="10">
        <v>46105</v>
      </c>
      <c r="K177" s="10"/>
      <c r="L177" s="10"/>
      <c r="M177" s="9" t="s">
        <v>25</v>
      </c>
      <c r="N177" s="19">
        <v>386359</v>
      </c>
      <c r="O177" s="19"/>
      <c r="P177" s="9">
        <v>3</v>
      </c>
      <c r="Q177" s="9" t="s">
        <v>46</v>
      </c>
      <c r="R177" s="13" t="s">
        <v>267</v>
      </c>
    </row>
    <row r="178" spans="1:18" x14ac:dyDescent="0.3">
      <c r="A178" s="16" t="s">
        <v>234</v>
      </c>
      <c r="B178" s="9" t="s">
        <v>76</v>
      </c>
      <c r="C178" s="9" t="s">
        <v>38</v>
      </c>
      <c r="D178" s="9">
        <v>30</v>
      </c>
      <c r="E178" s="9" t="s">
        <v>21</v>
      </c>
      <c r="F178" s="9" t="s">
        <v>22</v>
      </c>
      <c r="G178" s="9" t="s">
        <v>56</v>
      </c>
      <c r="H178" s="9" t="s">
        <v>24</v>
      </c>
      <c r="I178" s="10">
        <v>46191</v>
      </c>
      <c r="J178" s="10">
        <v>46201</v>
      </c>
      <c r="K178" s="10">
        <v>46205</v>
      </c>
      <c r="L178" s="10">
        <v>46212</v>
      </c>
      <c r="M178" s="9" t="s">
        <v>41</v>
      </c>
      <c r="N178" s="19">
        <v>397459</v>
      </c>
      <c r="O178" s="19">
        <v>856161</v>
      </c>
      <c r="P178" s="9">
        <v>12</v>
      </c>
      <c r="Q178" s="9" t="s">
        <v>26</v>
      </c>
      <c r="R178" s="13">
        <v>21</v>
      </c>
    </row>
    <row r="179" spans="1:18" x14ac:dyDescent="0.3">
      <c r="A179" s="16" t="s">
        <v>235</v>
      </c>
      <c r="B179" s="9" t="s">
        <v>28</v>
      </c>
      <c r="C179" s="9" t="s">
        <v>20</v>
      </c>
      <c r="D179" s="9">
        <v>36</v>
      </c>
      <c r="E179" s="9" t="s">
        <v>39</v>
      </c>
      <c r="F179" s="9" t="s">
        <v>40</v>
      </c>
      <c r="G179" s="9" t="s">
        <v>33</v>
      </c>
      <c r="H179" s="9" t="s">
        <v>24</v>
      </c>
      <c r="I179" s="10">
        <v>46053</v>
      </c>
      <c r="J179" s="10">
        <v>46055</v>
      </c>
      <c r="K179" s="10">
        <v>46061</v>
      </c>
      <c r="L179" s="10"/>
      <c r="M179" s="9" t="s">
        <v>79</v>
      </c>
      <c r="N179" s="19">
        <v>334385</v>
      </c>
      <c r="O179" s="19">
        <v>642375</v>
      </c>
      <c r="P179" s="9">
        <v>11</v>
      </c>
      <c r="Q179" s="9" t="s">
        <v>26</v>
      </c>
      <c r="R179" s="13" t="s">
        <v>267</v>
      </c>
    </row>
    <row r="180" spans="1:18" x14ac:dyDescent="0.3">
      <c r="A180" s="16" t="s">
        <v>236</v>
      </c>
      <c r="B180" s="9" t="s">
        <v>48</v>
      </c>
      <c r="C180" s="9" t="s">
        <v>38</v>
      </c>
      <c r="D180" s="9">
        <v>40</v>
      </c>
      <c r="E180" s="9" t="s">
        <v>44</v>
      </c>
      <c r="F180" s="9" t="s">
        <v>45</v>
      </c>
      <c r="G180" s="9" t="s">
        <v>29</v>
      </c>
      <c r="H180" s="9" t="s">
        <v>54</v>
      </c>
      <c r="I180" s="10">
        <v>46034</v>
      </c>
      <c r="J180" s="10">
        <v>46042</v>
      </c>
      <c r="K180" s="10"/>
      <c r="L180" s="10"/>
      <c r="M180" s="9" t="s">
        <v>70</v>
      </c>
      <c r="N180" s="19">
        <v>708490</v>
      </c>
      <c r="O180" s="19"/>
      <c r="P180" s="9">
        <v>11</v>
      </c>
      <c r="Q180" s="9" t="s">
        <v>42</v>
      </c>
      <c r="R180" s="13" t="s">
        <v>267</v>
      </c>
    </row>
    <row r="181" spans="1:18" x14ac:dyDescent="0.3">
      <c r="A181" s="16" t="s">
        <v>237</v>
      </c>
      <c r="B181" s="9" t="s">
        <v>19</v>
      </c>
      <c r="C181" s="9" t="s">
        <v>20</v>
      </c>
      <c r="D181" s="9">
        <v>22</v>
      </c>
      <c r="E181" s="9" t="s">
        <v>49</v>
      </c>
      <c r="F181" s="9" t="s">
        <v>50</v>
      </c>
      <c r="G181" s="9" t="s">
        <v>23</v>
      </c>
      <c r="H181" s="9" t="s">
        <v>54</v>
      </c>
      <c r="I181" s="10">
        <v>46042</v>
      </c>
      <c r="J181" s="10">
        <v>46047</v>
      </c>
      <c r="K181" s="10"/>
      <c r="L181" s="10"/>
      <c r="M181" s="9" t="s">
        <v>51</v>
      </c>
      <c r="N181" s="19">
        <v>456137</v>
      </c>
      <c r="O181" s="19"/>
      <c r="P181" s="9">
        <v>12</v>
      </c>
      <c r="Q181" s="9" t="s">
        <v>46</v>
      </c>
      <c r="R181" s="13" t="s">
        <v>267</v>
      </c>
    </row>
    <row r="182" spans="1:18" x14ac:dyDescent="0.3">
      <c r="A182" s="16" t="s">
        <v>238</v>
      </c>
      <c r="B182" s="9" t="s">
        <v>78</v>
      </c>
      <c r="C182" s="9" t="s">
        <v>38</v>
      </c>
      <c r="D182" s="9">
        <v>35</v>
      </c>
      <c r="E182" s="9" t="s">
        <v>44</v>
      </c>
      <c r="F182" s="9" t="s">
        <v>45</v>
      </c>
      <c r="G182" s="9" t="s">
        <v>23</v>
      </c>
      <c r="H182" s="9" t="s">
        <v>57</v>
      </c>
      <c r="I182" s="10">
        <v>46029</v>
      </c>
      <c r="J182" s="10">
        <v>46037</v>
      </c>
      <c r="K182" s="10"/>
      <c r="L182" s="10"/>
      <c r="M182" s="9" t="s">
        <v>35</v>
      </c>
      <c r="N182" s="19">
        <v>598482</v>
      </c>
      <c r="O182" s="19"/>
      <c r="P182" s="9">
        <v>6</v>
      </c>
      <c r="Q182" s="9" t="s">
        <v>26</v>
      </c>
      <c r="R182" s="13" t="s">
        <v>267</v>
      </c>
    </row>
    <row r="183" spans="1:18" x14ac:dyDescent="0.3">
      <c r="A183" s="16" t="s">
        <v>239</v>
      </c>
      <c r="B183" s="9" t="s">
        <v>32</v>
      </c>
      <c r="C183" s="9" t="s">
        <v>38</v>
      </c>
      <c r="D183" s="9">
        <v>32</v>
      </c>
      <c r="E183" s="9" t="s">
        <v>49</v>
      </c>
      <c r="F183" s="9" t="s">
        <v>50</v>
      </c>
      <c r="G183" s="9" t="s">
        <v>29</v>
      </c>
      <c r="H183" s="9" t="s">
        <v>34</v>
      </c>
      <c r="I183" s="10">
        <v>46128</v>
      </c>
      <c r="J183" s="10">
        <v>46136</v>
      </c>
      <c r="K183" s="10"/>
      <c r="L183" s="10"/>
      <c r="M183" s="9" t="s">
        <v>35</v>
      </c>
      <c r="N183" s="19">
        <v>554501</v>
      </c>
      <c r="O183" s="19"/>
      <c r="P183" s="9">
        <v>10</v>
      </c>
      <c r="Q183" s="9" t="s">
        <v>26</v>
      </c>
      <c r="R183" s="13" t="s">
        <v>267</v>
      </c>
    </row>
    <row r="184" spans="1:18" x14ac:dyDescent="0.3">
      <c r="A184" s="16" t="s">
        <v>240</v>
      </c>
      <c r="B184" s="9" t="s">
        <v>48</v>
      </c>
      <c r="C184" s="9" t="s">
        <v>38</v>
      </c>
      <c r="D184" s="9">
        <v>22</v>
      </c>
      <c r="E184" s="9" t="s">
        <v>39</v>
      </c>
      <c r="F184" s="9" t="s">
        <v>40</v>
      </c>
      <c r="G184" s="9" t="s">
        <v>29</v>
      </c>
      <c r="H184" s="9" t="s">
        <v>24</v>
      </c>
      <c r="I184" s="10">
        <v>46131</v>
      </c>
      <c r="J184" s="10">
        <v>46140</v>
      </c>
      <c r="K184" s="10"/>
      <c r="L184" s="10"/>
      <c r="M184" s="9" t="s">
        <v>70</v>
      </c>
      <c r="N184" s="19">
        <v>843168</v>
      </c>
      <c r="O184" s="19"/>
      <c r="P184" s="9">
        <v>3</v>
      </c>
      <c r="Q184" s="9" t="s">
        <v>42</v>
      </c>
      <c r="R184" s="13" t="s">
        <v>267</v>
      </c>
    </row>
    <row r="185" spans="1:18" x14ac:dyDescent="0.3">
      <c r="A185" s="16" t="s">
        <v>241</v>
      </c>
      <c r="B185" s="9" t="s">
        <v>37</v>
      </c>
      <c r="C185" s="9" t="s">
        <v>20</v>
      </c>
      <c r="D185" s="9">
        <v>23</v>
      </c>
      <c r="E185" s="9" t="s">
        <v>21</v>
      </c>
      <c r="F185" s="9" t="s">
        <v>22</v>
      </c>
      <c r="G185" s="9" t="s">
        <v>33</v>
      </c>
      <c r="H185" s="9" t="s">
        <v>30</v>
      </c>
      <c r="I185" s="10">
        <v>46041</v>
      </c>
      <c r="J185" s="10">
        <v>46047</v>
      </c>
      <c r="K185" s="10">
        <v>46053</v>
      </c>
      <c r="L185" s="10"/>
      <c r="M185" s="9" t="s">
        <v>79</v>
      </c>
      <c r="N185" s="19">
        <v>628118</v>
      </c>
      <c r="O185" s="19">
        <v>549301</v>
      </c>
      <c r="P185" s="9">
        <v>9</v>
      </c>
      <c r="Q185" s="9" t="s">
        <v>26</v>
      </c>
      <c r="R185" s="13" t="s">
        <v>267</v>
      </c>
    </row>
    <row r="186" spans="1:18" x14ac:dyDescent="0.3">
      <c r="A186" s="16" t="s">
        <v>242</v>
      </c>
      <c r="B186" s="9" t="s">
        <v>28</v>
      </c>
      <c r="C186" s="9" t="s">
        <v>20</v>
      </c>
      <c r="D186" s="9">
        <v>30</v>
      </c>
      <c r="E186" s="9" t="s">
        <v>44</v>
      </c>
      <c r="F186" s="9" t="s">
        <v>45</v>
      </c>
      <c r="G186" s="9" t="s">
        <v>23</v>
      </c>
      <c r="H186" s="9" t="s">
        <v>34</v>
      </c>
      <c r="I186" s="10">
        <v>46188</v>
      </c>
      <c r="J186" s="10">
        <v>46190</v>
      </c>
      <c r="K186" s="10">
        <v>46196</v>
      </c>
      <c r="L186" s="10"/>
      <c r="M186" s="9" t="s">
        <v>79</v>
      </c>
      <c r="N186" s="19">
        <v>859798</v>
      </c>
      <c r="O186" s="19">
        <v>857581</v>
      </c>
      <c r="P186" s="9">
        <v>6</v>
      </c>
      <c r="Q186" s="9" t="s">
        <v>46</v>
      </c>
      <c r="R186" s="13" t="s">
        <v>267</v>
      </c>
    </row>
    <row r="187" spans="1:18" x14ac:dyDescent="0.3">
      <c r="A187" s="16" t="s">
        <v>243</v>
      </c>
      <c r="B187" s="9" t="s">
        <v>99</v>
      </c>
      <c r="C187" s="9" t="s">
        <v>20</v>
      </c>
      <c r="D187" s="9">
        <v>38</v>
      </c>
      <c r="E187" s="9" t="s">
        <v>44</v>
      </c>
      <c r="F187" s="9" t="s">
        <v>45</v>
      </c>
      <c r="G187" s="9" t="s">
        <v>29</v>
      </c>
      <c r="H187" s="9" t="s">
        <v>24</v>
      </c>
      <c r="I187" s="10">
        <v>46090</v>
      </c>
      <c r="J187" s="10">
        <v>46100</v>
      </c>
      <c r="K187" s="10">
        <v>46107</v>
      </c>
      <c r="L187" s="10">
        <v>46115</v>
      </c>
      <c r="M187" s="9" t="s">
        <v>41</v>
      </c>
      <c r="N187" s="19">
        <v>679314</v>
      </c>
      <c r="O187" s="19">
        <v>377125</v>
      </c>
      <c r="P187" s="9">
        <v>11</v>
      </c>
      <c r="Q187" s="9" t="s">
        <v>42</v>
      </c>
      <c r="R187" s="13">
        <v>25</v>
      </c>
    </row>
    <row r="188" spans="1:18" x14ac:dyDescent="0.3">
      <c r="A188" s="16" t="s">
        <v>244</v>
      </c>
      <c r="B188" s="9" t="s">
        <v>99</v>
      </c>
      <c r="C188" s="9" t="s">
        <v>20</v>
      </c>
      <c r="D188" s="9">
        <v>32</v>
      </c>
      <c r="E188" s="9" t="s">
        <v>53</v>
      </c>
      <c r="F188" s="9" t="s">
        <v>50</v>
      </c>
      <c r="G188" s="9" t="s">
        <v>23</v>
      </c>
      <c r="H188" s="9" t="s">
        <v>30</v>
      </c>
      <c r="I188" s="10">
        <v>46137</v>
      </c>
      <c r="J188" s="10">
        <v>46140</v>
      </c>
      <c r="K188" s="10">
        <v>46143</v>
      </c>
      <c r="L188" s="10"/>
      <c r="M188" s="9" t="s">
        <v>79</v>
      </c>
      <c r="N188" s="19">
        <v>614459</v>
      </c>
      <c r="O188" s="19">
        <v>890948</v>
      </c>
      <c r="P188" s="9">
        <v>7</v>
      </c>
      <c r="Q188" s="9" t="s">
        <v>42</v>
      </c>
      <c r="R188" s="13" t="s">
        <v>267</v>
      </c>
    </row>
    <row r="189" spans="1:18" x14ac:dyDescent="0.3">
      <c r="A189" s="16" t="s">
        <v>245</v>
      </c>
      <c r="B189" s="9" t="s">
        <v>28</v>
      </c>
      <c r="C189" s="9" t="s">
        <v>20</v>
      </c>
      <c r="D189" s="9">
        <v>27</v>
      </c>
      <c r="E189" s="9" t="s">
        <v>49</v>
      </c>
      <c r="F189" s="9" t="s">
        <v>50</v>
      </c>
      <c r="G189" s="9" t="s">
        <v>23</v>
      </c>
      <c r="H189" s="9" t="s">
        <v>30</v>
      </c>
      <c r="I189" s="10">
        <v>46191</v>
      </c>
      <c r="J189" s="10">
        <v>46193</v>
      </c>
      <c r="K189" s="10"/>
      <c r="L189" s="10"/>
      <c r="M189" s="9" t="s">
        <v>60</v>
      </c>
      <c r="N189" s="19">
        <v>458683</v>
      </c>
      <c r="O189" s="19"/>
      <c r="P189" s="9">
        <v>9</v>
      </c>
      <c r="Q189" s="9" t="s">
        <v>26</v>
      </c>
      <c r="R189" s="13" t="s">
        <v>267</v>
      </c>
    </row>
    <row r="190" spans="1:18" x14ac:dyDescent="0.3">
      <c r="A190" s="16" t="s">
        <v>246</v>
      </c>
      <c r="B190" s="9" t="s">
        <v>76</v>
      </c>
      <c r="C190" s="9" t="s">
        <v>38</v>
      </c>
      <c r="D190" s="9">
        <v>35</v>
      </c>
      <c r="E190" s="9" t="s">
        <v>53</v>
      </c>
      <c r="F190" s="9" t="s">
        <v>50</v>
      </c>
      <c r="G190" s="9" t="s">
        <v>33</v>
      </c>
      <c r="H190" s="9" t="s">
        <v>24</v>
      </c>
      <c r="I190" s="10">
        <v>46179</v>
      </c>
      <c r="J190" s="10">
        <v>46181</v>
      </c>
      <c r="K190" s="10"/>
      <c r="L190" s="10"/>
      <c r="M190" s="9" t="s">
        <v>35</v>
      </c>
      <c r="N190" s="19">
        <v>318473</v>
      </c>
      <c r="O190" s="19"/>
      <c r="P190" s="9">
        <v>4</v>
      </c>
      <c r="Q190" s="9" t="s">
        <v>26</v>
      </c>
      <c r="R190" s="13" t="s">
        <v>267</v>
      </c>
    </row>
    <row r="191" spans="1:18" x14ac:dyDescent="0.3">
      <c r="A191" s="16" t="s">
        <v>247</v>
      </c>
      <c r="B191" s="9" t="s">
        <v>78</v>
      </c>
      <c r="C191" s="9" t="s">
        <v>20</v>
      </c>
      <c r="D191" s="9">
        <v>37</v>
      </c>
      <c r="E191" s="9" t="s">
        <v>44</v>
      </c>
      <c r="F191" s="9" t="s">
        <v>45</v>
      </c>
      <c r="G191" s="9" t="s">
        <v>29</v>
      </c>
      <c r="H191" s="9" t="s">
        <v>57</v>
      </c>
      <c r="I191" s="10">
        <v>46107</v>
      </c>
      <c r="J191" s="10">
        <v>46113</v>
      </c>
      <c r="K191" s="10"/>
      <c r="L191" s="10"/>
      <c r="M191" s="9" t="s">
        <v>51</v>
      </c>
      <c r="N191" s="19">
        <v>564788</v>
      </c>
      <c r="O191" s="19"/>
      <c r="P191" s="9">
        <v>1</v>
      </c>
      <c r="Q191" s="9" t="s">
        <v>26</v>
      </c>
      <c r="R191" s="13" t="s">
        <v>267</v>
      </c>
    </row>
    <row r="192" spans="1:18" x14ac:dyDescent="0.3">
      <c r="A192" s="16" t="s">
        <v>248</v>
      </c>
      <c r="B192" s="9" t="s">
        <v>99</v>
      </c>
      <c r="C192" s="9" t="s">
        <v>20</v>
      </c>
      <c r="D192" s="9">
        <v>26</v>
      </c>
      <c r="E192" s="9" t="s">
        <v>39</v>
      </c>
      <c r="F192" s="9" t="s">
        <v>40</v>
      </c>
      <c r="G192" s="9" t="s">
        <v>23</v>
      </c>
      <c r="H192" s="9" t="s">
        <v>24</v>
      </c>
      <c r="I192" s="10">
        <v>46064</v>
      </c>
      <c r="J192" s="10">
        <v>46067</v>
      </c>
      <c r="K192" s="10">
        <v>46069</v>
      </c>
      <c r="L192" s="10">
        <v>46076</v>
      </c>
      <c r="M192" s="9" t="s">
        <v>41</v>
      </c>
      <c r="N192" s="19">
        <v>746828</v>
      </c>
      <c r="O192" s="19">
        <v>797213</v>
      </c>
      <c r="P192" s="9">
        <v>3</v>
      </c>
      <c r="Q192" s="9" t="s">
        <v>42</v>
      </c>
      <c r="R192" s="13">
        <v>12</v>
      </c>
    </row>
    <row r="193" spans="1:18" x14ac:dyDescent="0.3">
      <c r="A193" s="16" t="s">
        <v>249</v>
      </c>
      <c r="B193" s="9" t="s">
        <v>19</v>
      </c>
      <c r="C193" s="9" t="s">
        <v>38</v>
      </c>
      <c r="D193" s="9">
        <v>40</v>
      </c>
      <c r="E193" s="9" t="s">
        <v>21</v>
      </c>
      <c r="F193" s="9" t="s">
        <v>22</v>
      </c>
      <c r="G193" s="9" t="s">
        <v>23</v>
      </c>
      <c r="H193" s="9" t="s">
        <v>30</v>
      </c>
      <c r="I193" s="10">
        <v>46043</v>
      </c>
      <c r="J193" s="10">
        <v>46046</v>
      </c>
      <c r="K193" s="10"/>
      <c r="L193" s="10"/>
      <c r="M193" s="9" t="s">
        <v>25</v>
      </c>
      <c r="N193" s="19">
        <v>753241</v>
      </c>
      <c r="O193" s="19"/>
      <c r="P193" s="9">
        <v>6</v>
      </c>
      <c r="Q193" s="9" t="s">
        <v>46</v>
      </c>
      <c r="R193" s="13" t="s">
        <v>267</v>
      </c>
    </row>
    <row r="194" spans="1:18" x14ac:dyDescent="0.3">
      <c r="A194" s="16" t="s">
        <v>250</v>
      </c>
      <c r="B194" s="9" t="s">
        <v>85</v>
      </c>
      <c r="C194" s="9" t="s">
        <v>20</v>
      </c>
      <c r="D194" s="9">
        <v>28</v>
      </c>
      <c r="E194" s="9" t="s">
        <v>44</v>
      </c>
      <c r="F194" s="9" t="s">
        <v>45</v>
      </c>
      <c r="G194" s="9" t="s">
        <v>23</v>
      </c>
      <c r="H194" s="9" t="s">
        <v>34</v>
      </c>
      <c r="I194" s="10">
        <v>46134</v>
      </c>
      <c r="J194" s="10">
        <v>46136</v>
      </c>
      <c r="K194" s="10"/>
      <c r="L194" s="10"/>
      <c r="M194" s="9" t="s">
        <v>35</v>
      </c>
      <c r="N194" s="19">
        <v>826427</v>
      </c>
      <c r="O194" s="19"/>
      <c r="P194" s="9">
        <v>5</v>
      </c>
      <c r="Q194" s="9" t="s">
        <v>42</v>
      </c>
      <c r="R194" s="13" t="s">
        <v>267</v>
      </c>
    </row>
    <row r="195" spans="1:18" x14ac:dyDescent="0.3">
      <c r="A195" s="16" t="s">
        <v>251</v>
      </c>
      <c r="B195" s="9" t="s">
        <v>78</v>
      </c>
      <c r="C195" s="9" t="s">
        <v>20</v>
      </c>
      <c r="D195" s="9">
        <v>28</v>
      </c>
      <c r="E195" s="9" t="s">
        <v>53</v>
      </c>
      <c r="F195" s="9" t="s">
        <v>50</v>
      </c>
      <c r="G195" s="9" t="s">
        <v>56</v>
      </c>
      <c r="H195" s="9" t="s">
        <v>54</v>
      </c>
      <c r="I195" s="10">
        <v>46164</v>
      </c>
      <c r="J195" s="10">
        <v>46170</v>
      </c>
      <c r="K195" s="10"/>
      <c r="L195" s="10"/>
      <c r="M195" s="9" t="s">
        <v>51</v>
      </c>
      <c r="N195" s="19">
        <v>449938</v>
      </c>
      <c r="O195" s="19"/>
      <c r="P195" s="9">
        <v>4</v>
      </c>
      <c r="Q195" s="9" t="s">
        <v>46</v>
      </c>
      <c r="R195" s="13" t="s">
        <v>267</v>
      </c>
    </row>
    <row r="196" spans="1:18" x14ac:dyDescent="0.3">
      <c r="A196" s="16" t="s">
        <v>252</v>
      </c>
      <c r="B196" s="9" t="s">
        <v>99</v>
      </c>
      <c r="C196" s="9" t="s">
        <v>20</v>
      </c>
      <c r="D196" s="9">
        <v>22</v>
      </c>
      <c r="E196" s="9" t="s">
        <v>44</v>
      </c>
      <c r="F196" s="9" t="s">
        <v>45</v>
      </c>
      <c r="G196" s="9" t="s">
        <v>33</v>
      </c>
      <c r="H196" s="9" t="s">
        <v>54</v>
      </c>
      <c r="I196" s="10">
        <v>46049</v>
      </c>
      <c r="J196" s="10">
        <v>46056</v>
      </c>
      <c r="K196" s="10">
        <v>46059</v>
      </c>
      <c r="L196" s="10">
        <v>46070</v>
      </c>
      <c r="M196" s="9" t="s">
        <v>41</v>
      </c>
      <c r="N196" s="19">
        <v>802164</v>
      </c>
      <c r="O196" s="19">
        <v>573679</v>
      </c>
      <c r="P196" s="9">
        <v>4</v>
      </c>
      <c r="Q196" s="9" t="s">
        <v>42</v>
      </c>
      <c r="R196" s="13">
        <v>21</v>
      </c>
    </row>
    <row r="197" spans="1:18" x14ac:dyDescent="0.3">
      <c r="A197" s="16" t="s">
        <v>253</v>
      </c>
      <c r="B197" s="9" t="s">
        <v>19</v>
      </c>
      <c r="C197" s="9" t="s">
        <v>20</v>
      </c>
      <c r="D197" s="9">
        <v>26</v>
      </c>
      <c r="E197" s="9" t="s">
        <v>44</v>
      </c>
      <c r="F197" s="9" t="s">
        <v>45</v>
      </c>
      <c r="G197" s="9" t="s">
        <v>23</v>
      </c>
      <c r="H197" s="9" t="s">
        <v>54</v>
      </c>
      <c r="I197" s="10">
        <v>46062</v>
      </c>
      <c r="J197" s="10">
        <v>46068</v>
      </c>
      <c r="K197" s="10"/>
      <c r="L197" s="10"/>
      <c r="M197" s="9" t="s">
        <v>35</v>
      </c>
      <c r="N197" s="19">
        <v>311309</v>
      </c>
      <c r="O197" s="19"/>
      <c r="P197" s="9">
        <v>11</v>
      </c>
      <c r="Q197" s="9" t="s">
        <v>42</v>
      </c>
      <c r="R197" s="13" t="s">
        <v>267</v>
      </c>
    </row>
    <row r="198" spans="1:18" x14ac:dyDescent="0.3">
      <c r="A198" s="16" t="s">
        <v>254</v>
      </c>
      <c r="B198" s="9" t="s">
        <v>76</v>
      </c>
      <c r="C198" s="9" t="s">
        <v>38</v>
      </c>
      <c r="D198" s="9">
        <v>31</v>
      </c>
      <c r="E198" s="9" t="s">
        <v>49</v>
      </c>
      <c r="F198" s="9" t="s">
        <v>50</v>
      </c>
      <c r="G198" s="9" t="s">
        <v>56</v>
      </c>
      <c r="H198" s="9" t="s">
        <v>34</v>
      </c>
      <c r="I198" s="10">
        <v>46119</v>
      </c>
      <c r="J198" s="10">
        <v>46122</v>
      </c>
      <c r="K198" s="10"/>
      <c r="L198" s="10"/>
      <c r="M198" s="9" t="s">
        <v>35</v>
      </c>
      <c r="N198" s="19">
        <v>425473</v>
      </c>
      <c r="O198" s="19"/>
      <c r="P198" s="9">
        <v>4</v>
      </c>
      <c r="Q198" s="9" t="s">
        <v>42</v>
      </c>
      <c r="R198" s="13" t="s">
        <v>267</v>
      </c>
    </row>
    <row r="199" spans="1:18" x14ac:dyDescent="0.3">
      <c r="A199" s="16" t="s">
        <v>255</v>
      </c>
      <c r="B199" s="9" t="s">
        <v>99</v>
      </c>
      <c r="C199" s="9" t="s">
        <v>38</v>
      </c>
      <c r="D199" s="9">
        <v>40</v>
      </c>
      <c r="E199" s="9" t="s">
        <v>53</v>
      </c>
      <c r="F199" s="9" t="s">
        <v>50</v>
      </c>
      <c r="G199" s="9" t="s">
        <v>29</v>
      </c>
      <c r="H199" s="9" t="s">
        <v>24</v>
      </c>
      <c r="I199" s="10">
        <v>46168</v>
      </c>
      <c r="J199" s="10">
        <v>46175</v>
      </c>
      <c r="K199" s="10"/>
      <c r="L199" s="10"/>
      <c r="M199" s="9" t="s">
        <v>25</v>
      </c>
      <c r="N199" s="19">
        <v>898112</v>
      </c>
      <c r="O199" s="19"/>
      <c r="P199" s="9">
        <v>7</v>
      </c>
      <c r="Q199" s="9" t="s">
        <v>42</v>
      </c>
      <c r="R199" s="13" t="s">
        <v>267</v>
      </c>
    </row>
    <row r="200" spans="1:18" x14ac:dyDescent="0.3">
      <c r="A200" s="16" t="s">
        <v>256</v>
      </c>
      <c r="B200" s="9" t="s">
        <v>99</v>
      </c>
      <c r="C200" s="9" t="s">
        <v>38</v>
      </c>
      <c r="D200" s="9">
        <v>23</v>
      </c>
      <c r="E200" s="9" t="s">
        <v>53</v>
      </c>
      <c r="F200" s="9" t="s">
        <v>50</v>
      </c>
      <c r="G200" s="9" t="s">
        <v>33</v>
      </c>
      <c r="H200" s="9" t="s">
        <v>30</v>
      </c>
      <c r="I200" s="10">
        <v>46033</v>
      </c>
      <c r="J200" s="10">
        <v>46042</v>
      </c>
      <c r="K200" s="10">
        <v>46045</v>
      </c>
      <c r="L200" s="10"/>
      <c r="M200" s="9" t="s">
        <v>79</v>
      </c>
      <c r="N200" s="19">
        <v>545657</v>
      </c>
      <c r="O200" s="19">
        <v>327517</v>
      </c>
      <c r="P200" s="9">
        <v>1</v>
      </c>
      <c r="Q200" s="9" t="s">
        <v>26</v>
      </c>
      <c r="R200" s="13" t="s">
        <v>267</v>
      </c>
    </row>
    <row r="201" spans="1:18" x14ac:dyDescent="0.3">
      <c r="A201" s="17" t="s">
        <v>257</v>
      </c>
      <c r="B201" s="11" t="s">
        <v>59</v>
      </c>
      <c r="C201" s="11" t="s">
        <v>38</v>
      </c>
      <c r="D201" s="11">
        <v>23</v>
      </c>
      <c r="E201" s="11" t="s">
        <v>39</v>
      </c>
      <c r="F201" s="11" t="s">
        <v>40</v>
      </c>
      <c r="G201" s="11" t="s">
        <v>33</v>
      </c>
      <c r="H201" s="11" t="s">
        <v>34</v>
      </c>
      <c r="I201" s="12">
        <v>46111</v>
      </c>
      <c r="J201" s="12">
        <v>46120</v>
      </c>
      <c r="K201" s="12"/>
      <c r="L201" s="12"/>
      <c r="M201" s="11" t="s">
        <v>70</v>
      </c>
      <c r="N201" s="20">
        <v>524543</v>
      </c>
      <c r="O201" s="20"/>
      <c r="P201" s="11">
        <v>2</v>
      </c>
      <c r="Q201" s="11" t="s">
        <v>46</v>
      </c>
      <c r="R201" s="14" t="s">
        <v>267</v>
      </c>
    </row>
  </sheetData>
  <pageMargins left="0.7" right="0.7" top="0.75" bottom="0.75" header="0.3" footer="0.3"/>
  <headerFooter>
    <oddFooter>&amp;L_x000D_&amp;1#&amp;"Aptos"&amp;8&amp;K0078D7 Sensitivity : This Document is Classified as "LNT Internal Use".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CA4C-C364-4EDF-9155-67955B69AAF9}">
  <dimension ref="A1:N28"/>
  <sheetViews>
    <sheetView zoomScale="55" zoomScaleNormal="55" workbookViewId="0">
      <selection activeCell="C3" sqref="C3"/>
    </sheetView>
  </sheetViews>
  <sheetFormatPr defaultRowHeight="14.4" x14ac:dyDescent="0.3"/>
  <cols>
    <col min="2" max="2" width="21.109375" bestFit="1" customWidth="1"/>
    <col min="3" max="3" width="8" style="1" bestFit="1" customWidth="1"/>
    <col min="4" max="4" width="38.5546875" customWidth="1"/>
    <col min="6" max="6" width="26.21875" bestFit="1" customWidth="1"/>
    <col min="7" max="8" width="8" bestFit="1" customWidth="1"/>
    <col min="9" max="9" width="67.109375" customWidth="1"/>
    <col min="10" max="10" width="9.109375" customWidth="1"/>
    <col min="11" max="11" width="18.44140625" bestFit="1" customWidth="1"/>
    <col min="12" max="13" width="8" bestFit="1" customWidth="1"/>
    <col min="14" max="14" width="41" customWidth="1"/>
  </cols>
  <sheetData>
    <row r="1" spans="1:14" x14ac:dyDescent="0.3">
      <c r="A1" s="36"/>
      <c r="B1" s="37"/>
      <c r="C1" s="38"/>
      <c r="D1" s="39"/>
      <c r="F1" s="36"/>
      <c r="G1" s="37"/>
      <c r="H1" s="37"/>
      <c r="I1" s="39"/>
    </row>
    <row r="2" spans="1:14" x14ac:dyDescent="0.3">
      <c r="A2" s="34"/>
      <c r="B2" s="60" t="s">
        <v>268</v>
      </c>
      <c r="C2" s="61"/>
      <c r="D2" s="30"/>
      <c r="F2" s="34"/>
      <c r="G2" s="60" t="s">
        <v>259</v>
      </c>
      <c r="H2" s="61"/>
      <c r="I2" s="30"/>
      <c r="K2" s="36"/>
      <c r="L2" s="37"/>
      <c r="M2" s="37"/>
      <c r="N2" s="39"/>
    </row>
    <row r="3" spans="1:14" ht="15.6" x14ac:dyDescent="0.3">
      <c r="A3" s="34"/>
      <c r="B3" s="25" t="s">
        <v>269</v>
      </c>
      <c r="C3" s="26">
        <f>COUNTA(Table1[Application ID])</f>
        <v>200</v>
      </c>
      <c r="D3" s="30"/>
      <c r="F3" s="34"/>
      <c r="G3" s="49" t="s">
        <v>276</v>
      </c>
      <c r="H3" s="48" t="s">
        <v>279</v>
      </c>
      <c r="I3" s="30"/>
      <c r="K3" s="34"/>
      <c r="L3" s="62" t="s">
        <v>266</v>
      </c>
      <c r="M3" s="62"/>
      <c r="N3" s="30"/>
    </row>
    <row r="4" spans="1:14" ht="15.6" x14ac:dyDescent="0.3">
      <c r="A4" s="34"/>
      <c r="B4" s="26" t="s">
        <v>41</v>
      </c>
      <c r="C4" s="26">
        <f>COUNTIF(Table1[Status],"Joined")</f>
        <v>26</v>
      </c>
      <c r="D4" s="30"/>
      <c r="F4" s="34"/>
      <c r="G4" s="24" t="s">
        <v>51</v>
      </c>
      <c r="H4" s="58">
        <v>31</v>
      </c>
      <c r="I4" s="30"/>
      <c r="K4" s="34"/>
      <c r="L4" s="56" t="s">
        <v>7</v>
      </c>
      <c r="M4" s="48" t="s">
        <v>279</v>
      </c>
      <c r="N4" s="30"/>
    </row>
    <row r="5" spans="1:14" x14ac:dyDescent="0.3">
      <c r="A5" s="34"/>
      <c r="B5" s="27" t="s">
        <v>270</v>
      </c>
      <c r="C5" s="26">
        <f>COUNTIF(Table1[Status],"Selected")</f>
        <v>38</v>
      </c>
      <c r="D5" s="30"/>
      <c r="F5" s="34"/>
      <c r="G5" s="24" t="s">
        <v>25</v>
      </c>
      <c r="H5" s="58">
        <v>27</v>
      </c>
      <c r="I5" s="30"/>
      <c r="K5" s="34"/>
      <c r="L5" s="54" t="s">
        <v>54</v>
      </c>
      <c r="M5" s="58">
        <v>46</v>
      </c>
      <c r="N5" s="30"/>
    </row>
    <row r="6" spans="1:14" x14ac:dyDescent="0.3">
      <c r="A6" s="34"/>
      <c r="B6" s="28" t="s">
        <v>271</v>
      </c>
      <c r="C6" s="26">
        <f>COUNTIF(Table1[Status],"Rejected")</f>
        <v>17</v>
      </c>
      <c r="D6" s="30"/>
      <c r="F6" s="34"/>
      <c r="G6" s="24" t="s">
        <v>41</v>
      </c>
      <c r="H6" s="58">
        <v>26</v>
      </c>
      <c r="I6" s="30"/>
      <c r="K6" s="34"/>
      <c r="L6" s="54" t="s">
        <v>34</v>
      </c>
      <c r="M6" s="58">
        <v>35</v>
      </c>
      <c r="N6" s="30"/>
    </row>
    <row r="7" spans="1:14" x14ac:dyDescent="0.3">
      <c r="A7" s="34"/>
      <c r="B7" s="29" t="s">
        <v>272</v>
      </c>
      <c r="C7" s="50">
        <f>C4/C3</f>
        <v>0.13</v>
      </c>
      <c r="D7" s="30"/>
      <c r="F7" s="34"/>
      <c r="G7" s="24" t="s">
        <v>79</v>
      </c>
      <c r="H7" s="58">
        <v>29</v>
      </c>
      <c r="I7" s="30"/>
      <c r="K7" s="34"/>
      <c r="L7" s="54" t="s">
        <v>57</v>
      </c>
      <c r="M7" s="58">
        <v>43</v>
      </c>
      <c r="N7" s="30"/>
    </row>
    <row r="8" spans="1:14" x14ac:dyDescent="0.3">
      <c r="A8" s="34"/>
      <c r="B8" s="25" t="s">
        <v>273</v>
      </c>
      <c r="C8" s="26">
        <f>AVERAGE(Table1[Time to Hire])</f>
        <v>21.846153846153847</v>
      </c>
      <c r="D8" s="30"/>
      <c r="F8" s="34"/>
      <c r="G8" s="24" t="s">
        <v>60</v>
      </c>
      <c r="H8" s="58">
        <v>17</v>
      </c>
      <c r="I8" s="30"/>
      <c r="K8" s="34"/>
      <c r="L8" s="54" t="s">
        <v>24</v>
      </c>
      <c r="M8" s="58">
        <v>38</v>
      </c>
      <c r="N8" s="30"/>
    </row>
    <row r="9" spans="1:14" x14ac:dyDescent="0.3">
      <c r="A9" s="34"/>
      <c r="B9" s="22"/>
      <c r="C9" s="23"/>
      <c r="D9" s="30"/>
      <c r="F9" s="34"/>
      <c r="G9" s="24" t="s">
        <v>35</v>
      </c>
      <c r="H9" s="58">
        <v>32</v>
      </c>
      <c r="I9" s="30"/>
      <c r="K9" s="34"/>
      <c r="L9" s="54" t="s">
        <v>30</v>
      </c>
      <c r="M9" s="58">
        <v>38</v>
      </c>
      <c r="N9" s="30"/>
    </row>
    <row r="10" spans="1:14" x14ac:dyDescent="0.3">
      <c r="A10" s="35"/>
      <c r="B10" s="31"/>
      <c r="C10" s="32"/>
      <c r="D10" s="33"/>
      <c r="F10" s="34"/>
      <c r="G10" s="24" t="s">
        <v>70</v>
      </c>
      <c r="H10" s="58">
        <v>38</v>
      </c>
      <c r="I10" s="30"/>
      <c r="K10" s="34"/>
      <c r="L10" s="53" t="s">
        <v>258</v>
      </c>
      <c r="M10" s="58">
        <v>200</v>
      </c>
      <c r="N10" s="30"/>
    </row>
    <row r="11" spans="1:14" x14ac:dyDescent="0.3">
      <c r="A11" s="42"/>
      <c r="B11" s="41"/>
      <c r="C11" s="52"/>
      <c r="D11" s="45"/>
      <c r="F11" s="34"/>
      <c r="G11" s="24" t="s">
        <v>258</v>
      </c>
      <c r="H11" s="58">
        <v>200</v>
      </c>
      <c r="I11" s="30"/>
      <c r="K11" s="35"/>
      <c r="L11" s="31"/>
      <c r="M11" s="31"/>
      <c r="N11" s="33"/>
    </row>
    <row r="12" spans="1:14" x14ac:dyDescent="0.3">
      <c r="A12" s="43"/>
      <c r="B12" s="60" t="s">
        <v>274</v>
      </c>
      <c r="C12" s="61"/>
      <c r="D12" s="46"/>
      <c r="F12" s="35"/>
      <c r="G12" s="31"/>
      <c r="H12" s="31"/>
      <c r="I12" s="33"/>
    </row>
    <row r="13" spans="1:14" ht="15.6" x14ac:dyDescent="0.3">
      <c r="A13" s="43"/>
      <c r="B13" s="57" t="s">
        <v>275</v>
      </c>
      <c r="C13" s="48" t="s">
        <v>279</v>
      </c>
      <c r="D13" s="46"/>
      <c r="J13" s="42"/>
      <c r="K13" s="63" t="s">
        <v>282</v>
      </c>
      <c r="L13" s="64"/>
      <c r="M13" s="65"/>
      <c r="N13" s="45"/>
    </row>
    <row r="14" spans="1:14" x14ac:dyDescent="0.3">
      <c r="A14" s="43"/>
      <c r="B14" s="54" t="s">
        <v>260</v>
      </c>
      <c r="C14" s="58">
        <v>39</v>
      </c>
      <c r="D14" s="46"/>
      <c r="E14" s="37"/>
      <c r="F14" s="37"/>
      <c r="G14" s="37"/>
      <c r="H14" s="39"/>
      <c r="J14" s="43"/>
      <c r="K14" s="66"/>
      <c r="L14" s="67"/>
      <c r="M14" s="68"/>
      <c r="N14" s="46"/>
    </row>
    <row r="15" spans="1:14" x14ac:dyDescent="0.3">
      <c r="A15" s="43"/>
      <c r="B15" s="54" t="s">
        <v>261</v>
      </c>
      <c r="C15" s="58">
        <v>27</v>
      </c>
      <c r="D15" s="46"/>
      <c r="E15" s="22"/>
      <c r="F15" s="60" t="s">
        <v>277</v>
      </c>
      <c r="G15" s="61"/>
      <c r="H15" s="30"/>
      <c r="J15" s="43"/>
      <c r="N15" s="46"/>
    </row>
    <row r="16" spans="1:14" ht="15.6" x14ac:dyDescent="0.3">
      <c r="A16" s="43"/>
      <c r="B16" s="54" t="s">
        <v>262</v>
      </c>
      <c r="C16" s="58">
        <v>38</v>
      </c>
      <c r="D16" s="46"/>
      <c r="E16" s="22"/>
      <c r="F16" s="57" t="s">
        <v>278</v>
      </c>
      <c r="G16" s="55" t="s">
        <v>279</v>
      </c>
      <c r="H16" s="30"/>
      <c r="J16" s="43"/>
      <c r="N16" s="46"/>
    </row>
    <row r="17" spans="1:14" x14ac:dyDescent="0.3">
      <c r="A17" s="43"/>
      <c r="B17" s="54" t="s">
        <v>263</v>
      </c>
      <c r="C17" s="58">
        <v>26</v>
      </c>
      <c r="D17" s="46"/>
      <c r="E17" s="22"/>
      <c r="F17" s="54" t="s">
        <v>29</v>
      </c>
      <c r="G17" s="59">
        <v>58</v>
      </c>
      <c r="H17" s="30"/>
      <c r="J17" s="36"/>
      <c r="K17" s="37"/>
      <c r="L17" s="37"/>
      <c r="M17" s="39"/>
      <c r="N17" s="46"/>
    </row>
    <row r="18" spans="1:14" x14ac:dyDescent="0.3">
      <c r="A18" s="43"/>
      <c r="B18" s="54" t="s">
        <v>264</v>
      </c>
      <c r="C18" s="58">
        <v>38</v>
      </c>
      <c r="D18" s="46"/>
      <c r="E18" s="22"/>
      <c r="F18" s="54" t="s">
        <v>33</v>
      </c>
      <c r="G18" s="59">
        <v>52</v>
      </c>
      <c r="H18" s="30"/>
      <c r="J18" s="34"/>
      <c r="K18" s="60" t="s">
        <v>280</v>
      </c>
      <c r="L18" s="61"/>
      <c r="M18" s="30"/>
      <c r="N18" s="46"/>
    </row>
    <row r="19" spans="1:14" ht="15.6" x14ac:dyDescent="0.3">
      <c r="A19" s="43"/>
      <c r="B19" s="54" t="s">
        <v>265</v>
      </c>
      <c r="C19" s="58">
        <v>32</v>
      </c>
      <c r="D19" s="46"/>
      <c r="E19" s="22"/>
      <c r="F19" s="54" t="s">
        <v>56</v>
      </c>
      <c r="G19" s="59">
        <v>39</v>
      </c>
      <c r="H19" s="30"/>
      <c r="J19" s="34"/>
      <c r="K19" s="57" t="s">
        <v>281</v>
      </c>
      <c r="L19" s="48" t="s">
        <v>279</v>
      </c>
      <c r="M19" s="30"/>
      <c r="N19" s="46"/>
    </row>
    <row r="20" spans="1:14" x14ac:dyDescent="0.3">
      <c r="A20" s="43"/>
      <c r="B20" s="53" t="s">
        <v>258</v>
      </c>
      <c r="C20" s="58">
        <v>200</v>
      </c>
      <c r="D20" s="46"/>
      <c r="E20" s="22"/>
      <c r="F20" s="54" t="s">
        <v>23</v>
      </c>
      <c r="G20" s="59">
        <v>51</v>
      </c>
      <c r="H20" s="30"/>
      <c r="J20" s="34"/>
      <c r="K20" s="54" t="s">
        <v>20</v>
      </c>
      <c r="L20" s="58">
        <v>99</v>
      </c>
      <c r="M20" s="30"/>
      <c r="N20" s="46"/>
    </row>
    <row r="21" spans="1:14" x14ac:dyDescent="0.3">
      <c r="A21" s="44"/>
      <c r="B21" s="40"/>
      <c r="C21" s="40"/>
      <c r="D21" s="47"/>
      <c r="E21" s="22"/>
      <c r="F21" s="54" t="s">
        <v>258</v>
      </c>
      <c r="G21" s="59">
        <v>200</v>
      </c>
      <c r="H21" s="30"/>
      <c r="J21" s="34"/>
      <c r="K21" s="54" t="s">
        <v>38</v>
      </c>
      <c r="L21" s="58">
        <v>101</v>
      </c>
      <c r="M21" s="30"/>
      <c r="N21" s="46"/>
    </row>
    <row r="22" spans="1:14" x14ac:dyDescent="0.3">
      <c r="A22" s="43"/>
      <c r="C22" s="51"/>
      <c r="E22" s="34"/>
      <c r="F22" s="22"/>
      <c r="G22" s="22"/>
      <c r="H22" s="30"/>
      <c r="J22" s="34"/>
      <c r="K22" s="54" t="s">
        <v>258</v>
      </c>
      <c r="L22" s="58">
        <v>200</v>
      </c>
      <c r="M22" s="30"/>
      <c r="N22" s="46"/>
    </row>
    <row r="23" spans="1:14" x14ac:dyDescent="0.3">
      <c r="A23" s="43"/>
      <c r="B23" s="60" t="s">
        <v>283</v>
      </c>
      <c r="C23" s="61"/>
      <c r="E23" s="35"/>
      <c r="F23" s="31"/>
      <c r="G23" s="31"/>
      <c r="H23" s="33"/>
      <c r="J23" s="35"/>
      <c r="K23" s="40"/>
      <c r="L23" s="40"/>
      <c r="M23" s="33"/>
      <c r="N23" s="46"/>
    </row>
    <row r="24" spans="1:14" ht="15.6" x14ac:dyDescent="0.3">
      <c r="A24" s="43"/>
      <c r="B24" s="57" t="s">
        <v>284</v>
      </c>
      <c r="C24" s="48" t="s">
        <v>279</v>
      </c>
      <c r="J24" s="44"/>
      <c r="K24" s="40"/>
      <c r="L24" s="40"/>
      <c r="M24" s="40"/>
      <c r="N24" s="47"/>
    </row>
    <row r="25" spans="1:14" x14ac:dyDescent="0.3">
      <c r="A25" s="43"/>
      <c r="B25" s="54" t="s">
        <v>26</v>
      </c>
      <c r="C25" s="58">
        <v>67</v>
      </c>
    </row>
    <row r="26" spans="1:14" x14ac:dyDescent="0.3">
      <c r="A26" s="43"/>
      <c r="B26" s="54" t="s">
        <v>46</v>
      </c>
      <c r="C26" s="58">
        <v>63</v>
      </c>
    </row>
    <row r="27" spans="1:14" x14ac:dyDescent="0.3">
      <c r="A27" s="43"/>
      <c r="B27" s="54" t="s">
        <v>42</v>
      </c>
      <c r="C27" s="58">
        <v>70</v>
      </c>
    </row>
    <row r="28" spans="1:14" x14ac:dyDescent="0.3">
      <c r="A28" s="44"/>
      <c r="B28" s="54" t="s">
        <v>258</v>
      </c>
      <c r="C28" s="58">
        <v>200</v>
      </c>
    </row>
  </sheetData>
  <mergeCells count="8">
    <mergeCell ref="K18:L18"/>
    <mergeCell ref="L3:M3"/>
    <mergeCell ref="K13:M14"/>
    <mergeCell ref="B23:C23"/>
    <mergeCell ref="B2:C2"/>
    <mergeCell ref="B12:C12"/>
    <mergeCell ref="G2:H2"/>
    <mergeCell ref="F15:G15"/>
  </mergeCells>
  <pageMargins left="0.7" right="0.7" top="0.75" bottom="0.75" header="0.3" footer="0.3"/>
  <headerFooter>
    <oddFooter>&amp;L_x000D_&amp;1#&amp;"Aptos"&amp;8&amp;K0078D7 Sensitivity : This Document is Classified as "LNT Internal Use".</oddFooter>
  </headerFooter>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1F3E-D5A9-4AD4-8411-73FE0EEF8EDD}">
  <dimension ref="A1"/>
  <sheetViews>
    <sheetView showGridLines="0" tabSelected="1" zoomScale="85" zoomScaleNormal="85" workbookViewId="0">
      <selection activeCell="R16" sqref="R16"/>
    </sheetView>
  </sheetViews>
  <sheetFormatPr defaultRowHeight="14.4" x14ac:dyDescent="0.3"/>
  <cols>
    <col min="3" max="4" width="9.109375" customWidth="1"/>
  </cols>
  <sheetData/>
  <pageMargins left="0.7" right="0.7" top="0.75" bottom="0.75" header="0.3" footer="0.3"/>
  <headerFooter>
    <oddFooter>&amp;L_x000D_&amp;1#&amp;"Aptos"&amp;8&amp;K0078D7 Sensitivity : This Document is Classified as "LNT Internal Use".</oddFooter>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Cdt. Dataset </vt:lpstr>
      <vt:lpstr>Cdt. Analysis</vt:lpstr>
      <vt:lpstr>Cdt.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KAMLESH PATHAK</dc:creator>
  <cp:lastModifiedBy>Aditya Vishwakarma</cp:lastModifiedBy>
  <dcterms:created xsi:type="dcterms:W3CDTF">2026-07-16T11:37:39Z</dcterms:created>
  <dcterms:modified xsi:type="dcterms:W3CDTF">2026-09-20T18:34:12Z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2026-09-14T08:50:26Z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3492ffdf-688a-44e5-8481-14c8fa93707e</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